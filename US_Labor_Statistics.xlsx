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publishItems="1"/>
  <mc:AlternateContent xmlns:mc="http://schemas.openxmlformats.org/markup-compatibility/2006">
    <mc:Choice Requires="x15">
      <x15ac:absPath xmlns:x15ac="http://schemas.microsoft.com/office/spreadsheetml/2010/11/ac" url="C:\Users\lieli\OneDrive\שולחן העבודה\Liel\udemy\Microsoft Excel Advanced Dashboard Design\project 2 maven carrers\"/>
    </mc:Choice>
  </mc:AlternateContent>
  <xr:revisionPtr revIDLastSave="0" documentId="13_ncr:1_{E9913344-78C2-4D96-8793-980306F16477}" xr6:coauthVersionLast="47" xr6:coauthVersionMax="47" xr10:uidLastSave="{00000000-0000-0000-0000-000000000000}"/>
  <bookViews>
    <workbookView xWindow="-108" yWindow="-108" windowWidth="23256" windowHeight="12576" activeTab="2" xr2:uid="{DB438AB8-0F60-4224-9C67-97043B861F24}"/>
  </bookViews>
  <sheets>
    <sheet name="Data" sheetId="1" r:id="rId1"/>
    <sheet name="Date Prep" sheetId="2" r:id="rId2"/>
    <sheet name="Dashboard" sheetId="3" r:id="rId3"/>
  </sheets>
  <definedNames>
    <definedName name="_xlnm._FilterDatabase" localSheetId="0" hidden="1">Data!$A$1:$F$1919</definedName>
    <definedName name="_xlchart.v5.0" hidden="1">'Date Prep'!$O$2</definedName>
    <definedName name="_xlchart.v5.1" hidden="1">'Date Prep'!$O$3:$O$50</definedName>
    <definedName name="_xlchart.v5.2" hidden="1">'Date Prep'!$T$2</definedName>
    <definedName name="_xlchart.v5.3" hidden="1">'Date Prep'!$T$3:$T$50</definedName>
    <definedName name="_xlchart.v5.4" hidden="1">'Date Prep'!$N$2</definedName>
    <definedName name="_xlchart.v5.5" hidden="1">'Date Prep'!$N$3:$N$50</definedName>
    <definedName name="_xlchart.v5.6" hidden="1">'Date Prep'!$S$2</definedName>
    <definedName name="_xlchart.v5.7" hidden="1">'Date Prep'!$S$3:$S$50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ShowAllWorksheets" guid="{A1F01C08-243B-48FC-94A8-F102AEB1706D}" maximized="1" xWindow="-8" yWindow="-8" windowWidth="1936" windowHeight="1056" activeSheetId="8" showFormulaBar="0"/>
    <customWorkbookView name="Dashboard" guid="{948164EF-B902-4A6C-8E3C-A935061C5153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2" l="1"/>
  <c r="T2" i="2" s="1"/>
  <c r="B6" i="3" a="1"/>
  <c r="B6" i="3" s="1"/>
  <c r="B3" i="2" s="1"/>
  <c r="F5" i="2" s="1"/>
  <c r="D14" i="2" a="1"/>
  <c r="D14" i="2" s="1"/>
  <c r="O3" i="2" a="1"/>
  <c r="O3" i="2" s="1"/>
  <c r="I8" i="2"/>
  <c r="I5" i="2"/>
  <c r="I7" i="2"/>
  <c r="I9" i="2"/>
  <c r="I12" i="2"/>
  <c r="I4" i="2"/>
  <c r="I3" i="2"/>
  <c r="I10" i="2"/>
  <c r="I6" i="2"/>
  <c r="I11" i="2"/>
  <c r="E7" i="2"/>
  <c r="E9" i="2"/>
  <c r="E4" i="2"/>
  <c r="E3" i="2"/>
  <c r="E12" i="2"/>
  <c r="E6" i="2"/>
  <c r="E8" i="2"/>
  <c r="E11" i="2"/>
  <c r="E10" i="2"/>
  <c r="E5" i="2"/>
  <c r="A3" i="2" a="1"/>
  <c r="A3" i="2" s="1"/>
  <c r="F4" i="2" l="1"/>
  <c r="F10" i="2"/>
  <c r="F9" i="2"/>
  <c r="F12" i="2"/>
  <c r="F11" i="2"/>
  <c r="F8" i="2"/>
  <c r="F7" i="2"/>
  <c r="F6" i="2"/>
  <c r="F3" i="2"/>
  <c r="S11" i="2"/>
  <c r="M4" i="2"/>
  <c r="S20" i="2"/>
  <c r="S40" i="2"/>
  <c r="P10" i="2"/>
  <c r="R10" i="2" s="1"/>
  <c r="S36" i="2"/>
  <c r="S16" i="2"/>
  <c r="I17" i="2"/>
  <c r="P50" i="2"/>
  <c r="R50" i="2" s="1"/>
  <c r="P28" i="2"/>
  <c r="R28" i="2" s="1"/>
  <c r="P8" i="2"/>
  <c r="R8" i="2" s="1"/>
  <c r="S34" i="2"/>
  <c r="S12" i="2"/>
  <c r="P36" i="2"/>
  <c r="R36" i="2" s="1"/>
  <c r="T36" i="2" s="1"/>
  <c r="S42" i="2"/>
  <c r="P12" i="2"/>
  <c r="R12" i="2" s="1"/>
  <c r="P32" i="2"/>
  <c r="R32" i="2" s="1"/>
  <c r="P26" i="2"/>
  <c r="R26" i="2" s="1"/>
  <c r="S10" i="2"/>
  <c r="L6" i="2"/>
  <c r="P44" i="2"/>
  <c r="R44" i="2" s="1"/>
  <c r="P24" i="2"/>
  <c r="R24" i="2" s="1"/>
  <c r="S50" i="2"/>
  <c r="S28" i="2"/>
  <c r="S8" i="2"/>
  <c r="P16" i="2"/>
  <c r="R16" i="2" s="1"/>
  <c r="S18" i="2"/>
  <c r="P48" i="2"/>
  <c r="R48" i="2" s="1"/>
  <c r="P4" i="2"/>
  <c r="R4" i="2" s="1"/>
  <c r="L5" i="2"/>
  <c r="P42" i="2"/>
  <c r="R42" i="2" s="1"/>
  <c r="T42" i="2" s="1"/>
  <c r="P20" i="2"/>
  <c r="R20" i="2" s="1"/>
  <c r="T20" i="2" s="1"/>
  <c r="S48" i="2"/>
  <c r="S26" i="2"/>
  <c r="S4" i="2"/>
  <c r="P34" i="2"/>
  <c r="R34" i="2" s="1"/>
  <c r="T34" i="2" s="1"/>
  <c r="P3" i="2"/>
  <c r="R3" i="2" s="1"/>
  <c r="L3" i="2"/>
  <c r="S32" i="2"/>
  <c r="M3" i="2"/>
  <c r="P40" i="2"/>
  <c r="R40" i="2" s="1"/>
  <c r="T40" i="2" s="1"/>
  <c r="P18" i="2"/>
  <c r="R18" i="2" s="1"/>
  <c r="S44" i="2"/>
  <c r="S24" i="2"/>
  <c r="L4" i="2"/>
  <c r="P49" i="2"/>
  <c r="R49" i="2" s="1"/>
  <c r="T49" i="2" s="1"/>
  <c r="P41" i="2"/>
  <c r="R41" i="2" s="1"/>
  <c r="P33" i="2"/>
  <c r="R33" i="2" s="1"/>
  <c r="P25" i="2"/>
  <c r="R25" i="2" s="1"/>
  <c r="P17" i="2"/>
  <c r="R17" i="2" s="1"/>
  <c r="P9" i="2"/>
  <c r="R9" i="2" s="1"/>
  <c r="S49" i="2"/>
  <c r="S41" i="2"/>
  <c r="S33" i="2"/>
  <c r="S25" i="2"/>
  <c r="S17" i="2"/>
  <c r="S9" i="2"/>
  <c r="M6" i="2"/>
  <c r="P47" i="2"/>
  <c r="R47" i="2" s="1"/>
  <c r="P39" i="2"/>
  <c r="R39" i="2" s="1"/>
  <c r="P31" i="2"/>
  <c r="R31" i="2" s="1"/>
  <c r="P23" i="2"/>
  <c r="R23" i="2" s="1"/>
  <c r="P15" i="2"/>
  <c r="R15" i="2" s="1"/>
  <c r="P7" i="2"/>
  <c r="R7" i="2" s="1"/>
  <c r="S47" i="2"/>
  <c r="S39" i="2"/>
  <c r="S31" i="2"/>
  <c r="S23" i="2"/>
  <c r="S15" i="2"/>
  <c r="S7" i="2"/>
  <c r="H17" i="2"/>
  <c r="M5" i="2"/>
  <c r="P46" i="2"/>
  <c r="R46" i="2" s="1"/>
  <c r="P38" i="2"/>
  <c r="R38" i="2" s="1"/>
  <c r="P30" i="2"/>
  <c r="R30" i="2" s="1"/>
  <c r="P22" i="2"/>
  <c r="R22" i="2" s="1"/>
  <c r="P14" i="2"/>
  <c r="R14" i="2" s="1"/>
  <c r="P6" i="2"/>
  <c r="R6" i="2" s="1"/>
  <c r="S46" i="2"/>
  <c r="S38" i="2"/>
  <c r="S30" i="2"/>
  <c r="S22" i="2"/>
  <c r="S14" i="2"/>
  <c r="S6" i="2"/>
  <c r="P45" i="2"/>
  <c r="R45" i="2" s="1"/>
  <c r="P37" i="2"/>
  <c r="R37" i="2" s="1"/>
  <c r="P29" i="2"/>
  <c r="R29" i="2" s="1"/>
  <c r="P21" i="2"/>
  <c r="R21" i="2" s="1"/>
  <c r="P13" i="2"/>
  <c r="R13" i="2" s="1"/>
  <c r="P5" i="2"/>
  <c r="R5" i="2" s="1"/>
  <c r="S45" i="2"/>
  <c r="S37" i="2"/>
  <c r="S29" i="2"/>
  <c r="S21" i="2"/>
  <c r="S13" i="2"/>
  <c r="S5" i="2"/>
  <c r="P43" i="2"/>
  <c r="R43" i="2" s="1"/>
  <c r="P35" i="2"/>
  <c r="R35" i="2" s="1"/>
  <c r="P27" i="2"/>
  <c r="R27" i="2" s="1"/>
  <c r="P19" i="2"/>
  <c r="R19" i="2" s="1"/>
  <c r="P11" i="2"/>
  <c r="R11" i="2" s="1"/>
  <c r="T11" i="2" s="1"/>
  <c r="S3" i="2"/>
  <c r="S43" i="2"/>
  <c r="S35" i="2"/>
  <c r="S27" i="2"/>
  <c r="S19" i="2"/>
  <c r="T10" i="2" l="1"/>
  <c r="T6" i="2"/>
  <c r="T23" i="2"/>
  <c r="T24" i="2"/>
  <c r="I18" i="2"/>
  <c r="I20" i="2" s="1"/>
  <c r="T32" i="2"/>
  <c r="T16" i="2"/>
  <c r="T9" i="2"/>
  <c r="T8" i="2"/>
  <c r="T19" i="2"/>
  <c r="T22" i="2"/>
  <c r="T39" i="2"/>
  <c r="T27" i="2"/>
  <c r="T47" i="2"/>
  <c r="T50" i="2"/>
  <c r="T30" i="2"/>
  <c r="T3" i="2"/>
  <c r="T28" i="2"/>
  <c r="T46" i="2"/>
  <c r="T25" i="2"/>
  <c r="T37" i="2"/>
  <c r="T44" i="2"/>
  <c r="T4" i="2"/>
  <c r="T48" i="2"/>
  <c r="T17" i="2"/>
  <c r="T43" i="2"/>
  <c r="T26" i="2"/>
  <c r="T13" i="2"/>
  <c r="T21" i="2"/>
  <c r="T7" i="2"/>
  <c r="T33" i="2"/>
  <c r="T5" i="2"/>
  <c r="T38" i="2"/>
  <c r="T29" i="2"/>
  <c r="T15" i="2"/>
  <c r="T41" i="2"/>
  <c r="T12" i="2"/>
  <c r="T35" i="2"/>
  <c r="T45" i="2"/>
  <c r="T14" i="2"/>
  <c r="T31" i="2"/>
  <c r="T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<sst xmlns="http://schemas.openxmlformats.org/spreadsheetml/2006/main" count="3891" uniqueCount="81">
  <si>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</si>
  <si>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</si>
  <si>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</si>
  <si>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</si>
  <si>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</si>
  <si>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</si>
  <si>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</si>
  <si>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</si>
  <si>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</si>
  <si>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</si>
  <si>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</si>
  <si>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</si>
  <si>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</si>
  <si>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</si>
  <si>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</si>
  <si>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</si>
  <si>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</si>
  <si>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</si>
  <si>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</si>
  <si>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</si>
  <si>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</si>
  <si>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</si>
  <si>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</si>
  <si>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</si>
  <si>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</si>
  <si>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</si>
  <si>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</si>
  <si>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</si>
  <si>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</si>
  <si>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</si>
  <si>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</si>
  <si>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</si>
  <si>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</si>
  <si>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</si>
  <si>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</si>
  <si>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</si>
  <si>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</si>
  <si>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</si>
  <si>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</si>
  <si>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</si>
  <si>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</si>
  <si>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</si>
  <si>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</si>
  <si>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</si>
  <si>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</si>
  <si>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</si>
  <si>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</si>
  <si>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</si>
  <si>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</si>
  <si>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</si>
  <si>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</si>
  <si>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</si>
  <si>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</si>
  <si>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</si>
  <si>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</si>
  <si>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</si>
  <si>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</si>
  <si>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</si>
  <si>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</si>
  <si>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</si>
  <si>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</si>
  <si>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</si>
  <si>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</si>
  <si>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</si>
  <si>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</si>
  <si>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</si>
  <si>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Current Year:</t>
  </si>
  <si>
    <t xml:space="preserve">Industry </t>
  </si>
  <si>
    <t>AVG WAGE BY INDUSTRY</t>
  </si>
  <si>
    <t>EMPLOYEES BY INDUSTRY</t>
  </si>
  <si>
    <t>EMPLOYEES BY INDUSTRY (CLEAN)</t>
  </si>
  <si>
    <t>Others</t>
  </si>
  <si>
    <t>WAGE &amp; EMPLOYEES TRENDS</t>
  </si>
  <si>
    <t>Avg Wage</t>
  </si>
  <si>
    <t>COMPARISON BY STATE</t>
  </si>
  <si>
    <t>Population</t>
  </si>
  <si>
    <t>Employees Per 1000 Capita</t>
  </si>
  <si>
    <t>Metric</t>
  </si>
  <si>
    <t>Map Filter</t>
  </si>
  <si>
    <t>Date Filter</t>
  </si>
  <si>
    <t>Precentage: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</si>
</sst>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₪&quot;\ #,##0"/>
    <numFmt numFmtId="168" formatCode="\ #,##0;&quot;₪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Segoe UI"/>
      <family val="2"/>
    </font>
    <font>
      <b/>
      <sz val="24"/>
      <color theme="1" tint="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Continuous" vertical="center"/>
    </xf>
    <xf numFmtId="0" fontId="3" fillId="5" borderId="0" xfId="0" applyFont="1" applyFill="1" applyAlignment="1">
      <alignment horizontal="centerContinuous" vertical="center"/>
    </xf>
    <xf numFmtId="0" fontId="1" fillId="6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1" fillId="0" borderId="0" xfId="0" applyFont="1"/>
    <xf numFmtId="0" fontId="6" fillId="7" borderId="0" xfId="0" applyFont="1" applyFill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453"/>
      <color rgb="FFEE0000"/>
      <color rgb="FF269999"/>
      <color rgb="FFB2D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'Date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alpha val="92000"/>
                </a:schemeClr>
              </a:solidFill>
              <a:ln w="28575">
                <a:solidFill>
                  <a:schemeClr val="accent1">
                    <a:alpha val="95000"/>
                  </a:schemeClr>
                </a:solidFill>
              </a:ln>
              <a:effectLst/>
            </c:spPr>
          </c:marker>
          <c:dLbls>
            <c:numFmt formatCode="&quot;₪&quot;\ 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'Date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'Date Prep'!$L$3:$L$6</c:f>
              <c:numCache>
                <c:formatCode>"₪"\ #,##0</c:formatCode>
                <c:ptCount val="4"/>
                <c:pt idx="0">
                  <c:v>75580.708333333328</c:v>
                </c:pt>
                <c:pt idx="1">
                  <c:v>79569.104166666672</c:v>
                </c:pt>
                <c:pt idx="2">
                  <c:v>83493.333333333328</c:v>
                </c:pt>
                <c:pt idx="3">
                  <c:v>93586.333333333328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3-4D4F-A1F3-AE1E72E9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92912"/>
        <c:axId val="681521224"/>
      </c:lineChart>
      <c:catAx>
        <c:axId val="74189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1224"/>
        <c:crosses val="autoZero"/>
        <c:auto val="1"/>
        <c:lblAlgn val="ctr"/>
        <c:lblOffset val="100"/>
        <c:noMultiLvlLbl val="0"/>
      </c:catAx>
      <c:valAx>
        <c:axId val="681521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Annual Wages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929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64640680245552E-2"/>
          <c:y val="3.0032041449364277E-2"/>
          <c:w val="0.42183135558759388"/>
          <c:h val="0.94832293690561409"/>
        </c:manualLayout>
      </c:layout>
      <c:doughnutChart>
        <c:varyColors val="1"/>
        <c:ser>
          <c:idx val="0"/>
          <c:order val="0"/>
          <c:tx>
            <c:strRef>
              <c:f>'Date Prep'!$I$16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00-4CBE-B934-3A239D1C3D5D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00-4CBE-B934-3A239D1C3D5D}"/>
              </c:ext>
            </c:extLst>
          </c:dPt>
          <c:dLbls>
            <c:delete val="1"/>
          </c:dLbls>
          <c:cat>
            <c:strRef>
              <c:f>'Date Prep'!$H$17:$H$18</c:f>
              <c:strCache>
                <c:ptCount val="2"/>
                <c:pt idx="0">
                  <c:v>Information</c:v>
                </c:pt>
                <c:pt idx="1">
                  <c:v>Others</c:v>
                </c:pt>
              </c:strCache>
            </c:strRef>
          </c:cat>
          <c:val>
            <c:numRef>
              <c:f>'Date Prep'!$I$17:$I$18</c:f>
              <c:numCache>
                <c:formatCode>#,##0</c:formatCode>
                <c:ptCount val="2"/>
                <c:pt idx="0">
                  <c:v>2677815</c:v>
                </c:pt>
                <c:pt idx="1">
                  <c:v>113971524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00-4CBE-B934-3A239D1C3D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'Date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'Date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'Date Prep'!$E$3:$E$12</c:f>
              <c:numCache>
                <c:formatCode>"₪"\ 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F-4681-91CA-FBF7A4AB9DED}"/>
            </c:ext>
          </c:extLst>
        </c:ser>
        <c:ser>
          <c:idx val="1"/>
          <c:order val="1"/>
          <c:tx>
            <c:strRef>
              <c:f>'Date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₪&quot;\ 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'Date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'Date Prep'!$F$3:$F$12</c:f>
              <c:numCache>
                <c:formatCode>"₪"\ #,##0</c:formatCode>
                <c:ptCount val="10"/>
                <c:pt idx="0">
                  <c:v>93586.333333333328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F-4681-91CA-FBF7A4AB9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686162008"/>
        <c:axId val="686162368"/>
      </c:barChart>
      <c:catAx>
        <c:axId val="6861620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62368"/>
        <c:crosses val="autoZero"/>
        <c:auto val="1"/>
        <c:lblAlgn val="ctr"/>
        <c:lblOffset val="100"/>
        <c:noMultiLvlLbl val="0"/>
      </c:catAx>
      <c:valAx>
        <c:axId val="686162368"/>
        <c:scaling>
          <c:orientation val="minMax"/>
        </c:scaling>
        <c:delete val="0"/>
        <c:axPos val="t"/>
        <c:numFmt formatCode="&quot;₪&quot;\ 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6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'Date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\ 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'Date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'Date Prep'!$M$3:$M$6</c:f>
              <c:numCache>
                <c:formatCode>#,##0</c:formatCode>
                <c:ptCount val="4"/>
                <c:pt idx="0">
                  <c:v>2760656</c:v>
                </c:pt>
                <c:pt idx="1">
                  <c:v>2781425</c:v>
                </c:pt>
                <c:pt idx="2">
                  <c:v>2815141</c:v>
                </c:pt>
                <c:pt idx="3">
                  <c:v>2677815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1-458C-B82F-F9416B8C3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741892912"/>
        <c:axId val="681521224"/>
      </c:barChart>
      <c:catAx>
        <c:axId val="74189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21224"/>
        <c:crosses val="autoZero"/>
        <c:auto val="1"/>
        <c:lblAlgn val="ctr"/>
        <c:lblOffset val="100"/>
        <c:noMultiLvlLbl val="0"/>
      </c:catAx>
      <c:valAx>
        <c:axId val="681521224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Total</a:t>
                </a:r>
                <a:r>
                  <a:rPr lang="en-US" sz="1050" baseline="0"/>
                  <a:t> Employees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2.2222222222222223E-2"/>
              <c:y val="0.27377470673308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929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C1962743-7853-45EC-9099-BF9184DCD0B3}">
          <cx:tx>
            <cx:txData>
              <cx:f>_xlchart.v5.2</cx:f>
              <cx:v>Avg Wage</cx:v>
            </cx:txData>
          </cx:tx>
          <cx:spPr>
            <a:solidFill>
              <a:schemeClr val="bg1"/>
            </a:solidFill>
          </cx:spPr>
          <cx:dataId val="0"/>
          <cx:layoutPr>
            <cx:geography cultureLanguage="en-US" cultureRegion="IL" attribution="Powered by Bing">
              <cx:geoCache provider="{E9337A44-BEBE-4D9F-B70C-5C5E7DAFC167}">
                <cx:binary>1H1pb9vItu1fCfL50V0zWQenL9DU4Cl2Ejtxd+cLodhuzizO069/i5ac2IwT+6L9HiCdgxYiscRd
tWpPa2+W/3vd/+c6ud2Ub/o0yar/XPe/vw3qOv/Pb79V18FtuqkO0vC6NJX5pz64Nulv5p9/wuvb
327KTRdm/m+MUPHbdbAp69v+7f/8F7/m35p35npThyb72NyWw8Vt1SR19YvvnvzqzeYmDbNlWNVl
eF3T39/+kWy+btLN2ze3WR3Ww6chv/397aOL3r75bf5TP9z2TQLJ6uYGYzk7sJUSjDH77ZvEZP7u
c8tRB44gnDPC9PZ1f9PzTYqBL5DkTo7NzU15W1WYyd37g4GPxMbn796+uTZNVk+r5WPhfn/7OQvr
25s3l/Wmvq3evgkrs9hesDCT7J8v7yb72+P1/p//zj7A9GefPIBkvlbPffUDIguTmHJzY+5X5xUg
cQ60dqQkgpG7F32MDCXyQArb4Yrf33QLyUtEeRqT7yNnoCze7yUof5ThaLLXVBNxwDRnzKFiqwwz
baGUHkCNpFZS3WO2VdGdtjwv0NPIfJvJDJg/vuwlMGsoS3jzisAw50BqKangW10hM2Vx2IFwbC6Y
s7tgpjMvEOhpYL4NnAGz3k8z9kcZb7JqAyv7ap5FHDiwY4RTuVUZ57EZ00CGayqldLbQyft736vM
8xI9Dc33ucyw+eNiL5VmsUnCf0yZha+oN9w+YFIopanerv5MbyjVB4razKaCPuX+XybT0/g8HDtD
aPHHfiJksuz2ug6vm/p+E//7OEDQA2lLKjmXT0JkI3TjDlwSm2nO4mXS/ASch4Pn6HzaS3SWt8mm
25S3rwcN1weEOLZifGfb9GPbZssDoRwlOIUJnF4zhF4i0dPwfB85w2a52ktsDm9N6b+qYWMHSkAr
hKZPao3DD4QQ3BZk53ZmAcELBHoamW8DZ8Ac7qdJO77ZBK+Y1AhxwB1NbHbvTmbRAKXiQEnNbYfM
dOVZQZ6GYzdsBsbxci+15DhJwsyErxidCXJAgQWSyF1CM7Ngjj6gwlFcOt8t3MOE5iUS/QSYb3OZ
Y7OfkfNxdhNuXjXX1AeIyrRw7gNjWKgZMwOnb2vko08Gzi8Q6CfI3M9kDsz5fiqN6V4xYBbsgNhC
SVuI7arPUNH8YArTFCW779V9uLFNZ46fkeYnkNyNmuOxnx7l9LUTTAepvbCZtu0nPb124HIIRQa6
M2HgbB6asOfleRqT+3EzVE4v91JL/gyra5NVYXa/OK+QuMCVc8S8XJFt9Pujb7E5A2ujn+ZkXiTS
09g8GDqD58/jvYTnbBNmr5i4CHnAkfUL+UAnHvoWpQ8YVVTA1G2hE/fbYmvFnhXnaVh2w2aQnO1n
ynIKI9Jcx8P9yvx7hQEZI5nNHCV3tZZZcOzIA+bYts3pTmFmIfJLJHoamO8jZ9ic/r2X6vLONGH1
yuEYOdAOckmldkTYzJppCp6TOqgN7KzdTGVeJNLT6DwYOoPn3X6GAGebckg22c0rqg6KZdAdmLPH
QbKtDmxCUbPRO0OGcO2h83+JJE+D8n3kDJOz/cwtz01ZB28Wm9Igx3zFgJmjSsmR0Eu+04tZycxG
hulI7ii1rZiRWcD8crmexmk+fobW+WIvDdzZpqo210FT3dZ1db+l/70HQnYDsh+smL3zMHSmTihv
Eol2AGcWRL9YnqdBmg2fYXS2p1YuvA5Cf/O6EbUDbLTt7HzQjwECgNPgBHbfz3Tp7AUS/QSgbyPn
2Bzvpf5cmgbWbrmJTf2Ktg7spuAIm6UNCKbXzNYhfDhgnICTVrPo4KXyPI3O49EzhC730x+dhail
Va8Lj0LWo9EjgHL03Wtm3bQ4oBoNAmjwuDepu3TnJbI8Dc2DacxwOdtPOu0srKrp/3ke3i/Sv/c7
U/sZQyXtG8s8C+NAQ6OjhqEVasd1/mDYXiTUzyB6MHgO0n6yORNIpilfEyGwaMoGFS129TSoyEPG
YGrjQGZqU7ZzPbPc9CUS/Rye7Vzm2OxnU9pFgK7FN8fV6yZA6BJQzAGbtqs061loYKOLgDoOmZrT
7l6zROilUj2N0ePRM5wu9jNEODNZ/aoFHWEfIHKWVKPofPcCBA9ViBJYOSEpU3wWHbxAlKdx+TZw
BsnZp72M2q5CNAm8dv8TFtzRsG1btZirjXOgEC1IlKyfVJuXSPQ0NN9HzrC52s9s5/z2a7mp4teM
pmGy0HjGbXvHDMxdjj4AIYfCz304N3M5L5HoaWy+j5xhc76fVPX5bbt5zW5b9D1xqQTKBztOZ6Y1
lCrEayB1bHic6YVA+yHr9rw8P8NlO485Kld7ac3Ob7s3R5s0r4LwNZvSBD9QjgRLfd8vOHMzUyQA
lWKa7Fo+Z8nOi8X6GUaPZjWH6mhvoTq77cPrV2yF4iALGKwbFTvzNsOJEnVAicM1cX5Qn+7N89L8
HJ77sXNszvYWm5Pbsrod7o3Mv89Hp7YoLDxq109nOzZK20hW8cDXNirQs4Bt0qHnZfo5Qvdj5wid
7CVCH26zrBqSdvOqoRswcjQ613dczp2TeRhO2/aBwx1nagv5Fto9dEIvlepplB6PnuH0YV9DuO7N
36aMX1GP2AFKb0xMzw/evWY2Dg3SYHUIvNWuPDfjdSY9ek6ip/H5PnKGzfnfe6lDV7dlioT0FaER
aGSTDP+bY4LOacWUVnA9d69ZWP0CSZ6G5NvAGSJX+5mMbguLr15CsNGXrjh8/m719ZwkIHimYHoG
8d713G+JLVX9Uqmehujx6BlO58u91Jz3QfiKURu8jsDDaiBxvnuVh14HDxriG45HDXfdiNCuh17n
OWmexmU7aobH+/2Mpd/HCR4peNWH19Fi4HCoze4BqfnDnxp9VQikCbkvy0GnHmHyAol+gsu3kXNs
TvdTV8pb37xmwZrD/zt4BIqrXaA8s2aMHODBTzzKLmYNBe+fleQniOzGzfG42Es8/ryt6jffmcLt
pv336Q0HqymYRBvBrtFwVqd2CB76hA3TZJf+zIzYi8V6GqPZ8BlUf+4nm7Otwf8/6J+CChG0rzH6
HYtHDmdKg/AUG44e2KrYLIR+uVxPgzUfP0PrcrGXivUJKSmOI7m9vfcEr6BUEielQJ/IjvMkM7oa
J6lwwdn0NPU2F5qxOi8S6WmMHgydwfNpP5sMPt32r3oGAUXMzB0BJfm29A91SIPPRooKquB74/XD
AOFZcX4Gy90s5pD8tZca87neBK+oLFhx9BmCht7FbDNluTtIxUY3NVMze/acHE9DsR01Q+Lzfiae
f25QMcj8+lUDNaSdlHKEBD/pXLsL1PBE9X3/x8x4vUymp7F5OHaG0J/7SaT9ORic1+W/nrqgLxfO
HazMTw5RQRkUcTRFRY7s0tL7e29ZgRcI9BNs7mcyB2Y/WLTrXx4k9jCcfnTl//bwNI38ErqD4wSe
ZDnhXvD8Ic7pun8IQTxGZ3a+2c/Fehqj2fBHM/n/dHjazw9W+3bo3HJTb1Z3p9U9OFvt19/eTRdH
6M2G7nL3bcT2aLb3y3p88/tbJrDK387Am37iUc4/W7Ttmn8bd7up6t/fWkodaJtzPO0L9NA4Oj2b
0CEl+/0tgjj0U6GGitYRiQN0HOftm2x6guL3t6ivcqSzgHt3Jks19RpjCB5R4QzMkaboatA4U+fb
GYEfTDIg7/62Grt/v8ma9IMJs7rCAX1IwfLtZZOU0x0pIxppGrNBB+KkC3x/vbmA2cHV9P8kNCoz
2sXy1qFe3egVy0VuJQuSt+F4JWWTxxthlbJaZ8VQDWJZs14G/cIyHvnqZ6XIrIVhfWyf6EAOzTLW
VlYcdTpNqrNEprk1uCbuZf5VxnXUmyXWKon4wrdtQW/t3gzNRRL0drJxHJl71zzlhTr3VVjk3E1p
WEEUkcsyfR9QUnfZ0k9kGeeu6WSavqP2UEBkP03pcMpSnkX/WFVrMOYBpE8sEtLYR2uECh4TGp0K
U50Iy4Ud8XCNbJqGTaAC59brTBYVR3UqEnGUiLYq7aOx8uuwW4xhjmOXEuKFzFv/+vYUQczj+08d
kRzlD1DpeCJcT98/wGiMuFMposKbiMY8Dhe14ZIHrtbMKqJ12Xd+WS/LoPZF4FrCGvPsQyf4ULEF
FaPq+EmtgqyKXWMKXtJzNP8V+O7XQmILP5TRRksaxwkP6IBCDWbalo9l7IPQYkHJrRtllS1hS3+0
fbtYJ46oOXGzslbqSyyJVx//+r4zbKb7Co3HthEAMjRdz++bN4OxjcWdG3/AnlNuS/Kk+isQHst8
t4vCJnyfeTids3aDwCBMdH99e1B+s2nbSAdwQowWEmGmPS3LA2h82YYW6QN+Y9mJXfCF7IiSGyiS
VR+bMbST89Cihp7xuBiay7giZAxcxGUJFuV/KwnaZBTISzw4OCX65LEkgR14STSQ8kaoDiq3Hqga
abyWZddUYhU6nlBfygZLULiVQkT9xZChLfWqDQ3Ju2dQQW3n8bJIhiAPlNzUbo3S0Gw31Cok0RBn
3rWnx0yWh6bIU29YWV5a6eFwcMoeW+TX86czS2ZP3XVIjCdFxdkweFb/8QL4eoykzmvrK/pk7NQ6
6utgUoi0NwFOAm26SIxiEabVwHK314xjIWRIguYyzVU0LDKLltmlToO0zJaFNCW7SNswq77+WszJ
nj6wtzaiY4IzH9CficO4oC0zW9J0nlOSYuy/9mVdYhOQJibAh/Qdl5bbl7y1LnMWF5PS1J2Z3sLc
b57B54fFQmsVjp/gBHVvwQVM2+PFcgpW1UOlzNcskRZseATrNXZuO5B6kKfck7D7ld/gmL80khks
apmnJZVHjhVZbewWAaztZPmHAKOycEzaU9HHuUmfMSt0rmCgo9BUydAmwYCwUjP/1PMuy3U28q+V
x5SVrqK6ypPmQzHWYZ4tumIoIJxlpy2+M0ORmmHpxONgXXZ57h1Xukwif5GOIxlO06DIas/NNFFe
vWgksZILlWp/TBeM6x4mkVnRQLMTMuoEvxqHXlcUz6gpRYbzaAMg+Ea/gVYEaRKOKJIzi4GdmRVt
1uZfbGlkJBc5QYNI4Xpeo3W5oKNtwbR7w9Z6Jo3Ad82dOcmp5+Crvqu5KtZNx5/XITG34ugZRjAi
NaUMfPsP2yLu4yr1ApN/yUtoUbHiVeyIM0YDPpzyqhmwHNprk/EqDfphsN0mKLsiWMDgd+rCL0bP
OipTEY1XpdVU6twJ1RQg9KJNE30YN3KCx1RcYwsNrS3bi7yM4vFqTFTcxS5JkslphVh9AGQyHeBD
PuAw1Csn7Xtgx2U04K0aiV87y1xWvForu5mwi3s/RIBR3N1eO741dK5j+gg/YRA8QPLQyqbYoM5l
Gm/6SmVFvtZtSdtLwc1YvyvL2CvdJElLli4s30v7I1/Auf6dOZknrlrSUmwy2/ERZ7RFZhCi/No2
zK0mVt9GcQkxvrAVeoZmW4N7Q+ZTnSdfRppWpe/2jNh55XYmMskxb4oOhuLXd5xbIzadP8Mo/Dba
x/QPd6xKUgVdyru/+dhMm7FrxGT+WGXHcN6qLaT64kV8xCbsWFNX/pkNw4J9+msxpiMGHykFx6nR
zIavQC8UE4iSH5ujkbdNYWmVXqUiS2vu1qaR1q0pggLWKIirjK5Kzzbhh7ZyfFicPJDGX/lOzVrj
4qyDLmndmvnFaeI56rLnZeIMbtVR1V7UjkXCRSHH3pxiE5HAjYjwwtwVnqKTsgcE+9C0AaKLYy+K
60nzW/Ssvp9Ouc4Hl8cl79vDX894btccPPtKJlaK3Z28jJzg8Yxj5QVZV1T257bJCIJYWZYMQWw7
TvtWIMgSRwHtemzbPtYcb359F9laKp+2NG+ijnmXXq+mLc2KcEzLozBnfDKRxVgRui6SNq/Cw1EO
MbTO69IppqaDk0I7bVpAjX49JTazbA4iIAduE1YNCIIinZnqgmfpaKKMfXbqgEO36tyfBKgt3kyq
e6fH4LQHyOYF/aTisJWTSSnzAo7GCijCeNrL6SNTxGgST3Rki6OwS6Z1KIbOqHOv6HFVGPBpioOf
qmodW3bJ17lTtrxaDPAXmO4zU5tFmZiapjj1F08loYlfIN57jFbdx9ROGjN85n47Waq6LLC1xmQM
zXVNnJhl7lCbYryyWTb5x9QyFID0Kk38YTWmitb+WnOr6T4jSi2xHJ0dcew+3o6wJlloaWwx0SX5
ZN0amM2jkOUdzFqNiAQ3DGuP4F/IsSiWIvUFlqKu7cCqFzJpIqhEoFmEf23XZzKFU4/9t8T2wzZG
eZgqznTUQbiA6Mpm0kHaSX4IdWk3CjWowvrUpraBddiGtyxw+jZeILMM/Ow5szBzR9MtBdqPGYFb
wiNH88SLRAZRa97bn6qGYofUA55iDw/h+7E+IsqFkSuvs0xfuSrhAxY8ab0MIQuMHlapK/uk/mCr
yvGitVcLB8YACtlelCD14QFSC4pf9xkc1Q42v+gyLGWfOBl0BVo0weHH/QSEFYUUb3qIdHtBTGog
iYxj+KZY1VOe+uvVFpo/tomY/OQEYCRwmCGioHlmg3CwsnzSD5+CYFCJ59ZNzPOF1xEvOldsFOWw
KoJS5Y6rGdNR4JZlERYnJGl4L90c0Y51WvqpJc68NLD5ouhM71+TMCFHndcItYztzCQ3IkrG8iI1
KsWfJxhp0r0XLSX9uHSiTMt8USB+rJp110mnPS+LwOuNq1KS0neclFQvs6zUdBH1dVN6rumdYozc
IGtL0S/8Pm6hDO1YdkPi9paMRLTWjDbiUiX1IPwF6WnTNYe57gLqIX7z/Pq4DmxEZgt7TLpxRFqL
rZgf9/HgNW5R5ZFat9r2+VKmVj9+6pRh4VUjEt9bclEzuhiQn5rBVX5d6aUOWRcvfJn4RzivoF4W
hnTjqaczQg5pRwO29q3KCcgqj00qPg+y9WPrszak7z/1dc/rM6uqM+sCHsNubmSpVPl5tFs/M25u
DA2qj7ofk/jQC8FurEcjnNS4OjacBQu7HKvC+UrTyMluApabtl9iqwzFrW7qriOLOOkqGh3VXlZI
Z4k8QCbq0EutWJ1raltxfNiqnFVJcBs4Ga+xyj3lTinORm5abOmRllUefMS5WbUiqywTeW4fN9oL
g+RdJvu48FdR69dd+66Tnh+Ga0+kXSMvvIzx4lhFIvCdNfaK4rGbtyOBW08qJ+y061tCFfUy8Mox
Go47v7KC8LALU3ibRaw7AQPb5mEj/zJWo2R1jM3RWd6i4whb6HmTI+rSbj1wp1fvE2bbeKu3H1ph
mOA7tD4J3G40lSi+jk2hWXsSqTL32RHtLcu2F0Mk48Y+7LOIpokrRTv5RSKtENPxuYRT2fTegCPD
FpEMtPTfD13e5faHyLOiLlnbMbdYfhw3g3ba9yriMtRuofXESdhlLYP4yvY9zxpPhUgqrJQ1FDDZ
Z7DaRSBPLe6VdvKOhkVIkw9R1EWOt+oiGAJ/ZUL03JULmKxJpKG1EsJWxA+GsFiSPI5KZ5nVxJLZ
X8xnGe6XRonWnxvfKYpFidQbK8ucJoQHWVAVTD8C+RGyuEWhp5heBBVmv8gDmnG1joJuWjGe1DHe
TBXU1mWW2pPJF23tO/ZCd7XBBhgzxBuHtS5TXJdvpxrUcsTyFRGOg7LhSyoPd0sCiiQzo+EED81F
wOSfNOmndc6EjsAlWY1VAgori51A3BYFEppiXYYhIq1F59DBLhahE8jGAoKiKZqrOsqaMMN6WcFo
DoNmFLQ/cyJ7EjkE0vl4qbCzcAeOr4qvntVPG0yV1oS8HCx8luh0Wpq2pbgULtYpOsjQ4rA5zHE3
n7LkvPgKwi3AZ7LPjbqMpfA0X4hOgwByczugWIvd7vHGSuMn7ciaJufVw91iNNg15WIX42o5yulf
vJLxGSdhaV3ultraXn6/yNvrwBSw+MxmeQoBaGYF7dc4VHlYHoYZHzDpgo34qzCuz7gfkksk4L7R
rtwCZca2xlZD5t2U/nFG9eBJl8ZBO6j3Om0MVqllaYJLWA6OrVyA5vBa7cZkmIJeP8WBX9BR2yfF
V71dQZNDg2DXtnMKWIgcbZGbTHX0aGicKTsnW2i320N5cYL1USLEiJW0k2nyvRoC7FOfltNtAhEo
fDiYgtjB59EKRVOfYKZ8Wt7tRhqboYGUmOT0KzQsK4xDZYNjd1V1MIm+XVBr7Eb8wyTcCHtlEZnF
0fGIlqI+P/QJSCSy6sLGQKd15E/MR9UB37C1WfGVKj/D9qkkIlZMvmwR7L6vwGVPP8ja6U20voO3
JCOTOqSjnOTPGuUH3ecm8RM/XGe+g98NCk59fhRXg03rU77dK2FU6do+3C25jtoS4vQhj/Ej8AAG
N4/yMIafb2kxKvIZkVvktMu8sOosXJDK93BzGQU4bH9ZJzm4zQSEASgbwBQ0x7bxJ3Vu4F/xWTw0
KnLWMYLFfjjhukp6c1QLQ9J0kWiRpK3rVT5oQ6ppg+uDuqjwhqBRJudp0eC/Q9qBt5Oko6CKCnD5
yXkb1x5Iga6McHca+Ka9UpnXIwvwhnHa+52GKY/WPS8YLIxTBknjrJIULjZd9Vbm6epYariq/m+i
+gj2xk+MieOjHZ0c1UlQRusmSJDvXg+iQo/+UR4FWI5DfqczhXESLFjldbE3XvHAMV39ueBd0Kmj
ejv1XvsVlojn/RhjRrHfVXKlRkJh5epSTMtH+3zaNeCrpi2+5U+dKu6wArRh03zrMGR4K7HBcX0R
gn203DAZwSuj6ynOtAvKYlDpGc9piSvUQKcctpVNhX21JVlGKpPSWzdZUXrs2PeKEb8xbqk3D2k5
WMNCihgUpUdjpL5pitwpW9QJiAl5msZq0qdadCFIeD92aphKrrwBPq8aYGmiNTLbafGakE9UAWuc
GFx8lGQ+huMsM8zy7w7hmWeddF5VluG55tFEUpoG7u7Mjj2u6o8CNNbgrXovsoZgrbpcJtUS1AVO
g3FtkEDqi/A5RUoOZ6gB/miJEbNSWTq5jVR603YrWUmx+bYrGdUGTDQPScjbk26UqWd/jMemsy5L
BNNgFca80OoL7C32l9XlI1YgEmSag5dnFow/0suJpUpCxKuIrHVquvyL0kNQ0K+iT1RyrlSRD95a
MFPV1j9dSKPeW8Gj8US6VQL+21o4CbXLKzCSXVx/In4R+f7CkwMP+ovORmxT3Og2bAv2d+U5oCYO
y7hpU72w2FjFV6NomDBuA+/QI9mn1CCmtG2pG9pgl6eRZosWH1p269odKlP9cjeTLZZFHoEgXuBx
02Ga1p25SZJ2sn968Cdrguh/Ut6wSqcrsjv23ovY9JmkxMIVgz9MF3oc7ES6QuY+1TbCxMuhyj6i
Re98rAearyIo6qSVOp2+2W1ZxJSwRBoPVeKrLQU/mVPLX5T9UHLbpawkzocmsP3OuB3JQNiLYfQ0
O+6KbNJy3xonOrBCnQhvAmFZfVyMBPtbENQfzsFbTpLHISqNX3Y3kqWGSyuwVazLbcaWhdFox26U
5Y34GG8NVrwlGgu02GI3WEkxkZBVqUohlqmfFsZzg0I11mUTyhxzrjtU8dqTkPlTGBeIHvew22QS
q7lTOMvE8COuJ5tJyXM2lRmXWddPe9L2RhaHrgyqLE1XQZRAG9fbBQEPPBm9GJ3A+F1RUSs6DRhP
bOcZ4muW0IPLgX3ADmYwbor+QCsHNWoI4KvZZWCMgtS27/fQhs7AzBaWmDQoaUG8BG4bFpPsz2R3
j3O76fY4NhWN5tMfG8L9Z/R72fTG6iobVNXWNEbggCEF8gBo0q9vNSPQoU0E7QS4Fygr/FdNaf2D
ClXnxIXjIZS83yMk7o1ZFLknxHscETbtbq2CCdQmjICwEaUAZDvj+GtZHlMIaCrB/nHwJ0gchXI4
9jl7LIvXcgb6NvIvcbYFzFgo6RSPVxX+5NJqNAidn1vnH2+ITjwQB8rRDOSinvGKcVASmqTEuyj6
DI7Cj+Hxj+0hhpnbafavJ0gn2u57eWea4fTEhsT5NQ7D2d1zIrNPIuFndaIudhajC8aJtB8UH6Rc
96Jy2nWUe2P5sen4EC3TJpvsOS9hGqxqFPBHz0j0eKdDIqRS04mi3NYSjT3zstigidXZAy8ukq1S
dYjroON9E3uw66HThoAgEM0AzdQczgGhhRVMgkQ5L5px0RbI7Ncy5UYSt4dpGRYw9QUuh3549Dwc
OPLJRbetZ+VbM/vrScxhBHD444EExwyDkqX4SymP9w38blGz3mrPgyqeLNN4Fwjllcyaj4PlNAJ/
C+DlVJdEAQQHqJDdozfTiZKP72f3iEZwQGtzvnN7vR8UkUsMLKtxywqn9f3v7gfKfzpUB4qBp0vE
D+aAdx6Y6DaMzrduCUHyhIYdJ9CLrComh/HrG0725cE2xYZA+Wk6aAn9KAKM5ozP7IaxD8tRxkd2
ZpWxXNhpavMvqoTCPKeCP94K0Dmo4KGrGUnm3NSlHkuHxlf+0TYUaSXYEewjVqR4+/Wsdq0YDyYG
rhC3uvtbBjh90sEjI4+RIwR1GTsMqsNyZCSoVkz2UzdCgyPBGvNPNWaooS9M5YNb1W7qjcgW3Vr6
NU1P4a3RguMvTJyD+XnHBLgH8iH1pO+bowGxgTTnXh/GtB8WHkPJ6e+qKFKkQWXERFas0qQZWb0g
hqgqXTqlBNX2jvfUcPVBb+t5sUIywt97WUqL/iz2g1ajZaZpVUjBiURo1ThComGH6TKxohxQ7AIU
28KwwI23YQUidAfOQt2ZsW2qEXcEprsLUgbTjdRwCgO6llkIaA1zkCdkrMEFCLFUY5/zKpmCOWsb
2+QojkLbSe7QMXTjqk7p6GZVqbNwqXI7iRr3nvIo4DYDdxfI3EVQqKx1WN+xcCYnbhctmCXkFrFi
q9wxuGUaI6toTwiqFaG/SPoUh6gdgs9PouQzR9ir+bkaai3y40gRayIDqrYEzzps8zDdDRUvlkHc
pKBdwcDYqDK4UVA7xltYjfE7kroFnt+W7IMudG53K7+Achef5KDb0XxCvWGqaCEGJEydm7pCEeFT
mINt9pdoQkI7wTooC0qjRUoRdP4zIPWsnBOp+o59obIfaucctJmXf8y0jmK2irLKIsiEccRzXy/Q
yoVa+iozA7Bddj0by8ElFpiJdoHQjEpnMYjB697Fuqqr0UU5uguRTWunRF00DEh1KEhSd18VSeMh
WHoCAXfmpnaWln9lYF6sxnW2JbedLSpQD/fVOyeF3Y7WWZAo1iCKvouzQHxPceKQ1ZPT2W6N5C4a
zOwkRspWanTE5G5bEpVSWDLf2BCDxTFzu9hq9ScYceNc5pm2knUaSl+6ge93l3IIZbQcws47DEXL
j0LCx+O07NsjMBnmwi4VW/RaBud2WCcEnHFbfvKwqY+EL03lQvuCr1GZJ3/5JDTLXlMPuWjC60Mk
u6CUWCZPnZx8MTHUMety9U51Yb60RRAAXWKV68juxSoyYfN+jJKarBCV1ytnIDzBjlXpdZA3l4yK
/LQUln+atlW9khUoaPS++EetafQy0J3z0c6DAnX9PLwJq8JbJkHuu4PIsqX0dHHijCxdD16GKnCW
S4GfdoZsIaLMXnf4yWMH+djXsjfNIfoevJtCx8lh3NNkdAcdyXUQEXOZC3DzbgKKpnItbvzPXT86
m8TKJFL5Jv3UOSxcEVaTE0F0ELrGsvg7AZpuXdYVnjWJbO8jyMMQ/Uo11zcUpR7kMzSnFy2LgnCd
D5m1olVaX1StAOEAU7Cshr454VU5xK5MO2fh2doLnL/ClunhGB0IzXXFRERXpslrpDlhGgxui7/V
c+vU0k6XlmeVJ6lGO8JS0Dr62Lc8Rp6UmlNZ1bRYeE5gNiSq8nc9jiQ7rRSddqgnpxqq33YnPcLZ
M2LH7THYb+skjHnAlg6s3w3tOp654+jQAGlzbv3d5UV3W1hWv2AhHTdVFRmGjoIc7YPjWGHnBkme
uOiYKptlPnZxf6Iav/BdQvPwfKA2DDFSqkXb8YSfoMs8yU/KvijXLG/YqUzS3gXTeyW74Zo0nncu
KNSnrZp6CWqRhK7fp629lIPhK2HX2XkeiPLvIe8RkxGUt/3KbWL0QMQLO/Rl7loNFxtUpo37f9n7
sh65cTXLvzKYdwLULgKDAVpLRGRmZDr3SvtFcHqRRIoSRVEUqV8/J2xP33Ld7lu47w0UCrAdEdq4
fN/ZFIXDeJwAFBQhlebBBaN4WDpvRCmMaV/mzs9v2ikZFrNbXdkEWvGC4/zAuObA3DDxXLeXscu3
exYu3VCOu+WfuVR7AZJHvuJ1TXOhlA0eGEiEKxXqvFw1ba7jfow/L3nqzhx4vwXtEK84aGOKZiUz
OtK1Pac5mfpiCAT7rAmagSpHfcaLhC/zfbql4oCFPk1L1u/ZyQRTdw+dDrQdW6dfwmlUR7u64MiV
TT/rqHnZ0Ce/7LPc8+OsYl/wWbbfPG7IsTPZutYoA/2T0SxpCh3PYGxFawraWXuVMqGOM+rQoGiz
hb2w0bD3yKnometmere73b+tGOCVzabwNoaw4EixU1Szm80T6ktSJNtoz0Qv4tNOp/EYDUEDZRbg
5LvO0xh7mcOKRHmfAw9KRHrKQMyUahn5USSrfoG2K8L52/A6oGN04Gm0fAQuN9+zsdOnwA/sSUq9
37QLn2uXYclFGyz7uzGm5lqv8XY/Lo1+1nkef4mExeIQzt7exV5i8gDT+hBEZr1xOtuu+s1FE3Cb
fDw2qYwrtMdQWAL2YFc70c25aTr9sId595IDOvk477l5xobfnjDZsts9IAYaprQ/DKxJzmC4g6g0
kg1VvvsxwnjX42FvyXQvAMHft25ScwllCD3ojc8flVnjFs31vp81i9cbCJUE0AE5PbfRziTWbOnq
KBP5KQDnV1q1xx9y20ZA5jX5SpoQGrSzT+K9Z6WXDrVula2AtPOzSCKbmZoi3mMwxcBUc96Iau+B
sgx3JPbj62D0Z3ynBdDbB6+LRAXD14zfOcYhv0xU0F+zSYWfVtKsWzl0G72F1Gd96UNr52MXDlFc
si7IbuJm0vmBUTmya9nlqgKPG++FBd9d5WyXWcF3w2who2a8mwj4/htP5gz3OqWb0eeZWRA9gdPB
djXGs/wQuZg8ZCPrVZk63U11x5R+5G1vZQ3K13c3shdTXxE9JhAhNk1Ajpldlv3R56Neu+Ol9KAV
mx1e0i1w16atFdcCPbkeyiBD5VImcm3sLdASvpTRGrTPW7ZPvpzokJ4h12uCagtQIt4YNOLmNenR
/WmsI1qZJEXh1I6QFZ2sSbPrJHR05M975JvQFt7NlK3XIRY7epXHYASO8+BHXXV2SdYnRlrBocBp
B6YLTZp2ECWJmXvqI6hmirCLh4fJB2Q/bmg0eUmzOaTnjXE3lqEGjn+bDVhOKwjk9moCsnXNQ9OX
8BiKa0O8W/iHwZOU7RFu/0idrIDTSHFRaakwkR+MiXluKp/ydAgBsC8T5kMOerNcAx/KOg7WoTuL
DuxsIUfAvOVu3DwWkfQgfrKVi9PYx8lUtyAKb0UPmLTirnenqMVL5ao0p10GSIzr4Eq0WoGOXJPM
F+EG9js1obkjCXNZKXkTL0UWiwhQHDC710AR/dUylCaRVj48TlMTRHVru3ANS5RwHZlKcPOQom1F
1qWPnsRThsJszX0/lFhJDT4wUdIjsguL0JyndacGVSTtHDhWC5kFWVer0E1JchsQm64vIHNlc+Jz
Hn9urf2071370nbqU8tUwgu0CfJpg7ajbvJGHyk2D4pFItWgv7L9ZvDhcKejfj3YTrNSzWpXRQaZ
piqkTOSTHoe00jr1xZr3MdZXa+QX0zb7IZsG0Hita27BMOa0DNyyzdWOzSa+Z0sXPWUQEOmqt8B6
MB4wYAro4bavwaTEg5rHJa+XLGvPyzROT+u8mLZeXWubK6DGbVYQ6diVnPhcheM8HMTcJE+joEHN
TDfdiCYht6Fw8U2oQFpO7QLymqEtqsKwQVzTmq3H3YXhUCAqZpAVZXZeahWk0x30g5u5UnprCrZs
1JWzaHkZp4tVBQtkAw0pBJHr1ZLi4moPkPtpb/DO7wa893zk4NcqjUm5FbsX+g67PDb/PhVD1XPU
FziF5hG7Tn9YM5aW66i6V963wScgb+4A0Q47TpTJQ6Yyfk841aWVafdGR/kycCjBWjRuhyxs+Mdp
C81UJNE0fYxoo6/XMGpc0WjH87IHOHrdqBAX3VIg3L2zJZrd6ANHW3Jtt6D/Iroo+ySaNngTQbSd
LZjbKlHzdBUBMn4F+B6Ky5rmVBFxOt+mTROhbsXieBmE8ZdYXJphP8rLru3C5X2yOenrIe1BhAJM
ntKrMRn7qVx07wy4pn0CWJhtPCijAetIkZKeJ7eDWsL3ruuMKMIB51DwIevyUuB3S8BfGBOdV8mV
TNcwq0wHIadGrSXaa6km84dC19aVQkUR/YSNd9MFI/lmT8SItDKKk1M/J+HLRTdwCHYr1qL3RH1I
EsffV5srbA/oPA/T2kANNTVJdAZ1p2+Uh6ik0C1KmrNbVvUuQuP6cgHMaIveDu6LMR5zBZMSfdqq
gGJ+tWCtbAFGztYjt9E1QOoWkqne7SjmIRv9hmx22xxk1pmb2KN/KwjKEVMNzUySmswSml+62+TV
LMPwMVPWlWKJlmqgZKZ365YFT2DXcgZVEGq4IjVbNxw3FFXXWP3GrXZz13GUcgylJ1QcZLqLui0g
5dpclHhe0kTVWlk4DKBIwSAq4052PBb20NoUVIoUJRco0nR9aWNt2fi5D1FTR2Ozv43LOooP4RRs
S4WuohFY0lg67arUwdoO/khoyMf4Q7pGTV6IYO6jzwNko2QsLckdbw4gzISjt6Kb0omV6LZdrIp1
7+Sylhk23MRXHfirfChWqLljX43WN1Lc+LwJI1ouKxowdT9YoENR4SDzZutBr2ru39pWxFNbbZgq
oFHgxolGXVg3T6k5tKjVxqu1W4n8vsyLs0ndQf8kxzqZwbU9NTQE93JUEEqZsdI+JpTf81UJPIeY
QC61ciiZwQFYyNxx+d8kYRnFfVz46CumOpe8JWCZuqefYC1RF8LBDOwCjYZB49QNzI0X6h56gQsP
gnm4Z1/buKEuPUJXvWO+zcHC+o+r2jrSFWMOoIugs234lmKLwHJsXtcOgEJ+Nigo3R3ljPq4XNtl
ncVxB7uFp4Utj0/8PcrX0coqGczqx5toxeXtRT9BZbGUEL1EsnmKTKL6tE4hVO2ja7qus5+gQ+oN
ahz0Du18UCrnWI+JmSoBFdJtCDEXSnfFsGJ61qOIyuNjbzLpvQIKa4Gk9iUkVeuwxXU7urgfarVB
ccOAHYxTft5R+uV1Q4a0AQtmG6bWIohnFteZ36P4CN5Pvqp8HV4I1DWmCCeYz4p4xdypoTaRX+ko
UGVB/d5pUU/pwrrKauhUXLGHM8jHPV39D5X9Netbew+w1J6AA/fniTZRKcJ0veWB97JWkYRYyzIQ
wYoMT5y5LbuaUcJlRTQqHxdu3MR41IZCxehytY0w51jxVe20EVhaY9kUKfbRtTLR7h+XnmwOBQIZ
alSg6BAbrpLkqNPYyKqRuXsne+O8KoJ2m4PHXPQiqTa8ceGLxqtMdLFwi9Zg3IlFN6J50NUoJ/Ry
WrtE2K8tcRfEBRV1OJa76NoDfFq2IQe5BjnEOeHMxrKh8TTVsafLKVim7ONghzhYyqwJ26kEoNgn
6FAzv9zJPKVrFdJkNW+QPkA2AQ0rVHYlNB2zRYEUhNAVAdy6a9F5yyKeUYffOhBurtgikdWZSIdr
0i4TpOxrAnMFtHVKQroR+nWp8jFhoKSI6Y7wLeDBZK4lRQRt3WlWw8zLFYDZ+w7BAsZGwx5WQidc
564OaaDcvcfDrmLW5Kzm0FZ8IxAvATzkqj0TLMPLJzSXW/eQcakvVVcU9idUMOm1jrOkf8cSGflj
ZGP+OG1RcwuZZPu11QHufL7tDnK1ZgUysu+9K1RPt5fcJev9pocOlwAbG9jhTE5YTTMJs4JI2GMA
+DCrGJ+2qwCgRV9t0Mb8sUUxfISJWOLTGHMOeaJOnuamnQ4mHOlbqpegYBl0iJ0edij0l90XsBz5
O3gqw74K18XC1DWMEMiz3jJ71aYa6rRl3CEHbZvN4XTZcJFGoBsu1Zj58ACGCDwrjWAsrFobWSy9
BH6HvjAqg7wwapcZRcHol9toVeu5DQObVzRpVXaAEEI9by4zUB2bEVcJNUD2KdZd3hYSBfiHmVwq
3gXpEWOBmtr3RSoaBjmKmPuuwobOobwCXHK/SyAAxZ4qldbCQmBXRVT29T47fKdNIKeDbESqykbq
+7Z0Yx02iys3k/iPGVYLe+PMqFU1zDZ/XBJtVhwuSWY0BD1QIBlOt9HQhDd5N4gMMqHGy0IHDbsh
pAvf/dCLa0fUcg+tHi+hAQs/wxWzjuAZMubLPlm4LrMt7n21bp4vxaBz09Rr1+cD1l8dDTc8CH1y
MOmWvJKmU+4OyJWIAAZM0heDksHHnkHxUEgIMe4mKExonW2JR1PAQrga5oYmspYB755F4vRWYt9E
VYf6vOoiPeeX+5Z+2KINMHQUTs1dPsjobYbKoi3sOnyMFjm9aTNNBeINgD1CUQmhVGsx5Af9sSUb
bVFbOVISVB63eoW9ZwHu8mlsV3KlOSZ1pXuRfTCrma5NMsProTNxBi6QnUhD81cgxn2GYdCm7yrc
o9rFdHm02odXAi+aCUtu8+1SrVEJ6cwIiCdblvy0RN2YVjsjKJxkz9xxTEI7PMIt21ca4FalMdTj
co6StUb5EtyMfuqgDdyCt67x7o01JijUslJYJxNRy3xovkNWTKs4ic1LjnL/GMRN8D5Bgf5G8ZWk
IA43DpL/N3hu8lsHkv+orMGsy9fPECibe7VS3xS5mWiAebDfs5YIVDRBLI/YD/SINmOJqjyDOAXf
Pm9zqP/gADuq3KFRmeEp3gvXBdMryYf4iXdRLMsYqP6VUmMAKgxKSxFFX/wK9F/XQgEP0u/YoIS0
FThwuJje0NFOUj3qeJni5IPh3YxVfkHeKrRJeob/GSIB57mcwTWAcJw+xB5SGn/cQng1wiqaqDPd
FV07yfcrCLm9eWl6tyVfkjGexIlPuTRx2cSaGlLlNok3jcVLQM0CTgv6CM6CPqUVhHfBjrIxp74v
tUg1dVerd0AxizR0ySGOxy3/lI6jwaIyKzG4AetY0tGkQp0HnUJFfNq2ELTE0FhBjowyHqoqDy80
Jg1k7HECKWinpm90Jj5bKhCaEOrVi9q86MBY9q2AWki1zUVEjjE4gwZpebvT+cFGuUEL00cu1fp1
yrfG8gpEbI6+D5ah3vE7zqdlnaplQ0ZaUFMVrcv8vordBr7Ar6jel9sUoyQrdtVhZTg1sElyVgKx
vlxJnLaUDceudTab/1hJu4dJ0Te5wL9BC5+l7oaYBQ3zDfdLM6SloyzP7OFv6LnfDSIg/2CgxovI
UWOClU4hfPidnBspeg7uFPtCOVwkv1jvMBUJ6CcdyRZqzy23oyypjHWYFZkeYEQqBvAoS2mi0WUv
/AfR9a/P63d2GaeFxIUUdlXENIM8BFf0+2n1iYc1qe2zr2JSF2+T/Cn8kIINGIhkAl32N0Tl75z8
5YiwceNuXLzDoHwvEQN/1mQANMwNhV/im/x5RPtTVRMlowY1v2RdvEIEZ6kjsHz0HGTlz0fxKz/h
l5njZw7Al0nBWdN25i9//L/Pk8R//+fynf/8zI+ohH/8CS9609MyfTf/8lPHb9MlHmT564d++2Uc
/dfZXTIUfvvDP8U5/DeBDY/flnUw/80//pbm8FvKyJ/THAJKYbP4TynAP8U5/Mfw+f3zPzIlLxEJ
P7/yK8khj5GSlsMAlEKGEGAOYwj/THIgOd4fDtkHgtjzEMAZ+Pz/jHLAuysRGplkyJi+vC4Zqpr/
/b9AJV/SHCK8yQ3GfrzeGjIDpH+w4N9Jc/gr145fuehPApjoYJj5p5HMAxXGSxSTEyMk5kXP/X5a
Wbw8/+me/K0TKLk4rPMMldIl25fC9f6XCbMHoJoA5pMTBCvBM5wTKGFWmn+QG1y4fzNVLmvCnwj9
y7HgRoXJHxZciAcuKcN/nip4FlDp2qg5+WBiH2iq7S1WFpA/O3X3KpX930kjouD39eByeYgsREQO
hc8L8YWXGNA/H9KJJZkhVGxOvdcNYPZ5MmcQUi3gfkDsCYqNjb1SqGnCA11RRqJFhPP+mAJDGo9z
0q5lYm28FasbsSHzXp/Y5EgPklDT9xHCC0DXCzui1mXHbdf9UaY+LKHaHa9R5MiHQcAsOxBtXgKT
jtewqKoDnPP9XeNNfxe3MGRXUTt2Rz+jBOnbBUYgs8iHEDrQbyB499dOxPo1U+0tXX1fb9kwlivI
g9MeRuI2jqHVKDserQ/hssrve7RPH/Zo4y8h7Xkx0mY4JHM3ojiUtlyncTvRqYGzdp/DY24pFDCw
4tVBBzRrMNFykwVmukMLA2ksyoHPdGjJaUgv8KQm22n22AeL2LEmxXYUTl+WHNEd6S4dqK69Wws6
b6ihdR4f6BLqj70gbBOV63S2oAnyG9TCH/HS3sQv525U/JCNGXq1rcE4L2mH8AIU9HJ8X3WmPnK4
LP7gTISPDDteV250YV95DttQAXlxBtoy9JOA8qF3B21zVIoQdHXvohvypATTNnygA6CsEuqA6ZzB
mnTjgVi85n6HKbTpNQDPC/HId1CFMSC3DxD6Pnaup2XjuH/soKKtl4Dqj7DI2cPkqDnkNiVJ4eCv
+qql7I7d2H3xmquqhUTxpmU5+PhgTzpZL7g53dgMt/Mg9z8QdUAeIljrz3SHHLZYXCCA1lpKKtHz
hhZkgu4z7ZOrBsY57JzjUke+F2fK2/Vru6TmXQSeD/Xe7ulYE9Oza9yCBa6e9MtshnIDxHc3DhRw
TDZ8pZHbUHnHNw0xrhCifWEL6sm5UcORqBwVDDBiFNLbCPF9TEvYjNIiU+aGEx0DRTItZGE055+h
QGvw4exT1KxRBYjKg2lL58dmG8Jz2i33idu2oMjxhlIMbcwehzoZ+RgxpBWB/eZkRg6JJuYWpsr9
3SAipsSTTd4VeNkPaCwgO9uNeZxhASqhc3iExLiv12R/I6uO7sK9C+vQ78sdyfa93li6PY0jW8s2
YPbgZfwwbvKPLGqm8NQDm7ZxYcAX+C9j2kME0dgVZVa6QrQyFD5XIS92AAuVaKWAZD1cvSj9MKf7
Od8G764GRpE7UnagbWjREBRWr2LZYEuAwGldthY3Ypqr1duFP8cwD7RmKCCMzu32nHnT1SxYshaE
NLCYkjSQlxXJTNOCmXwcj5uFFujNkRg2LWgWQyC3+bbQqh+Izw8LX/o5hinEQLMvtr19tCK5GLpU
b9u7dAahVUyQvmz3LZDfPCpUOi/dDWuIBVkMuX7yMVTgA6FrGxvS1XBLsvCVQxSeHIB8JtnXzAH0
hAwBjqNr4RFCoZ+EhHYJjQhbxEeSKPHErOyPmo5YhieZJSdLzfCaNZ5cVNJh44ttTaNriLAmWmy7
3dYiIR07JiYCqhs28zlwLjmFktAMYIFH1yl3FjyH3dTyYpkvf501afPk/bp9ScMRiOgYjOoADii6
mgYoaIo1Bnwo1iG+Ugsdr9EcsNrIdR9LOTdAmgBiTzdzHIOtymwWHIJ0mapB98AtFTPluNDcFVB2
oA9sGvYJzKEsZ0PGp32B1bJIRrKiGbebfHBRrL7FqCTPOJG+PQgI0oFvM7lX8JwMXa1hUb4C688+
DEmffh4kWn84tywMz0smH8gmMigG4GcZS/i48W8JMfI72NjhNaLG3Q+CpzBe7nJ6amUHfcXl9YwB
Fg+Rrpi3Q/VjH/+fKvC/TGH9RzYX8rtRsvz3VSCiJcZvX0z/ZTV/Lh5/fu1XJYh4ruyiokzRMWCn
zy+hTb8qwSzCW0gT6CyiDOUJqiRIsn+FeiGA76K2DBHUg/IJdnmcx69KEInwDD46JJAnP+TD/2Yl
+KOH+HPhBM00XplBkaaApBkKD/XvVUwSeoSQTL09TQiVqEJEDtXdPrIyMebNp+I9p5ZDTbKbegQf
UGLkLYVzXlzngVAlNflzbnNxTeA7vHXrcLb5hXsl6V0466gAkzIWGbfQD1xATUDl+yGOJK3mFs5p
aOLYQTHSlyxdWZmx8EE1llaALUBKxbmogxmAc4upeJG/2JJjTpcQb9KKi+XNDux5TfoJjfgUAmvn
7ylRtBpg9gcfsoOBtJm+Ula/BXmnyj2xEbQCCanha3kF/vMIa/271Th8mqi3Yeq/T63BHgVlaIko
0Yegw34ajrgemMshdtDzWxpwOFYvFcJGcHlIR4OgDWRQZUl2pXV+BVW3qZsFt8aypm6NhD+ci++h
IK5IU9zKKddLRWf8KHIXoiLGDopLwG2g+ZXEe1arRuNTluIcrIpJ3YHiLNYunE48RoE3wa5WpXOK
fxXxw5avpr58k8dY8XoG6mQP07FoPW6BgnCuTkywP7TT8MDwxpx6WHDIAcDRTRLPOP0tCut1xglF
KhUV3dsXKN/BZ2ZrXrFp/O7HeTrNkQZL3nhRbcKHbcGG9kszkAD3gT3jpV+mjsZBlQsFOnuBXw6x
yXM442xYas6WZ1DcAqVsCgUOGfYDcP39tOW4e9GCg25JdpUH5PnHIOlnn1c+npdKZRgHgY8epM2B
xFAGRVxgy1Dgf+DVHmyPk2q5iK8iotkh4MDDJ8hZrjNmwtqqyygy+Cww/7t+CQQs3UtYZ7bjZdqk
FxIDA2sdpCplktxhPH93DOAkmpi8GLb+He0Tnv2OP/EmcQUiXcZqMzlQfjvhOxJ3aQlUXoWZ2m8h
4mOlXvTbj+ctW0C7dsCwgv1lP7QdhgzwAjz6GbDxmubDNQ3a75jkGNUpPpt3GJ15hqEyXeZCOxv/
MiA5qUhz0EsBTgQzLy+sEv0dBA9XeGf7s9/x5LcZ8wSpJs31hs3itsswO1i2vGWQWJQpPBuYcBhM
OWbjj5sxKkyKjeCjSsh3eLPCuoEG5HoIYbSLGwzaQSzNtR9Z8AjYV5XIloCeBF1cGRml4O4Kw1qL
iVZSx7il1OIc2m65yRfijm0aBudobpCiYvawFhBvIWYjgmqJj+A6JowybIclSkNxm4eYqMCzoUGz
3VAL3w41xTxBWd0/2C65+zG9Ir7vJwpjH7DVAdb3CTswtMBTQSUed9wxcd12dDw6GokaRDamocin
8sezJRKXT5rxnMIQiiUEQ2AE5VpCzqYA/+P5wd20Hyal2XFpY1HDFswO0C0PFbglVf4YAJcRjin+
0Mc7VGYeyxgDm1DHO9tPPx6zgT0D8wDDyIGvri0Pms+qT8gp6XCpO8GxwPKQE6zHWL1Am8AFgUcQ
iO8tsrsg9cTsoQSzWcK4X4Zj0FxTvY7nrAfrmLjkmG/8nbS9LwjMaudGhKKGy6kv152SU5tgnk57
Epx91rFDlmKQjUjcOhOwm+U+YvkCe/MZYrUcvcMIJjQ+sm6A0JY4/Fiw2RI4QFpmhkbQkyRLgbwv
fbWlC4ReIzgN10uKri6J4PVqsSi2ARa3DY+OZIIdmzV86PD28+MejP6oDBYTFVtboitEAIXFKWxr
gFmUqekkc6xgMgMK/mNtCpkL6x+TFjINixQl8ozf7u4R4UgrncQPob+0yg3Ji8SAvBZ8w2CanYIB
DLotMQHw7mY6nl0au7s1E98RvIdb4zEDftzrlCWiEhI/CUUaO8RjKurYmaUieYIlME7QMyI+6j4M
dlmBmB2OeTN/nzP8tVx5jUmvCihg3XVMhv4QaP0lh9y2RvoblP9z9iqneKoF6e7Jtt5lk+FFhPb0
2vcOBSkZliFAe+AhQBYbStrREVRmyIFBtuHFwYsYszitWR4s8JXumr+HfHJVoDhDe0nD56SFdGXJ
N8VvPTjn6x5pHnkBxQnkDVCPxGt9wZWLburNPdLrUsAPaTC02UGDb+elF5A+O+AIS73HnQpgxJnJ
tWrWzyCYp68ASr7EPZ3Woo2c+J7PEdlTrBJgH0pMjO0E4mg6QJ3gmIKMDHGFikPwJnlsSdViK6qQ
f9Pcsm3ayWGIxm25E8h3ya5GYEjyBD+8IW8eguSyA+4xnJuORabQegjScvbgue4Sm4YevnB0FI8j
3K/XXZb+Dfh0AZf+UtfEKYwywNEutq6/esgGBjsoLMPrKeu9h82j+94LbC7RmD+veoowrDDr4h4j
/U8l4H8Bev0ViEI9hdIe+T9AR2gGCPv3eor5OPTMqPUUbD8WO8zBqBdfx42Iwinx/V8f7a8Y1I+j
XZyJYYywHQCHvx9t3xDB0e/jeho8BsilEmCiITXSSuj/NAE/K/2/aQICLBx/eib/DAUjVm4aYeT6
R9/w8yu/GoAAr9mmMTxbgPGjS2Q2kMlfDUAQACYGRvzTB8hoit7gVwMQ4eXdl2/l8OOhfUgvSWj/
HwpG4C+qEBQuETyScOz9O0gwEn5+nycYM4Axg0uPQXE+/+RElDNYSSfSDaEcCn4brAObkQOKkiSd
6M2kbI6UOz5nZl+PAqkTkv4B1wjYJTEquTyHMja7hno9QrrJoGHe2DhqJGTm5U99CtY9RYQiH/tg
LdXmIKOLkdQoIV1h/sTJthGIIeBplfYKWha5WDDeYJmNuh0Hz0f00z0mEMvVeE7ACV0DWbX0ivep
v/Vx0zzzaFawyaRvZJnscUPBfwkLQqBPwtWZS5Bnkju0xkkiwucuxVQp+w7YRcHkBooTWWCs3iDW
2tDp70Bu0yF1jzukSJ+pCgEKICzZ3iL9ExKtsDOAJbRd+x37dkuH4+jscHQWIXJVwqb+KpXtnN0x
ZrAEL54CFSME9HOqvDkaLeyKjQGJRZ2MxUk1ejvwXWc7mqURPwxxQ+PAKTX2Q5g040ez+eBxQyCv
PWJ3QcjOsgAuaiFfBbzW+r1YhNQVT2b7ZnTsX5t9ytJSt7NyVw6F0kU6k+BCIXtawzdkvs6I9wmG
4xKmGkJcYeu0VXOAKlafN2QUXWw0cEUhYqtTRS+25CoFGPHKuHfn0GxsOfYcESKHbtGwNVkM9QqB
bZ4+zNhZQ+Ag8hiZoSnTKXFQZ3OTwSHPOQHIDTNFgU5XTxVdwX9CGypPsIp3FZSla34It22rN8On
EtSebQ8+NBQ3ulUqKYNl2L5nTU8/o8oBkpJgNh4uCGsN37v/LBF/HR4QZZMc18mpp2DU3Q3Ck4a3
CTa5oqE22NB1tAaJX93/Y++8liQ3zq37RFDAm8u/fFV3V3s3Nxk9DplIeA88/VloitRMUxoG/2tG
KE5IhzMsByAz97f32rG5sevgGlhDvelsKbZ4vyHUMAhlTTet0eq3cZxWu6nHYiqDOroevYqggqi7
dcc89yQjMQarwsk0XCqHDYInOxTRxCiOpJXtY5uRkoHuLT5xN5DBgEkUfRZZb6HpN22v93Fb2Q8i
Vd1xqLNgh/kyAM+ci+Yev8YXc/CMTT+F8wb2K24M7gB1LAL8U8Q3RvaesR9al5mfuictvfB1mSzs
+0b6YuU1s2VtvJ7TWYNI5mwaUT2QTKrPVWjOn9M2ExtILNNTp8rsIGbUubVhmBEnewPnQl8azfVU
jPm58oAYrdoiSdTK7pVYezhzN5YUxaPPuYRTb5SzzKv4uUV95kDfivROu6W9bmZCHfiQ921BdLIO
hIuG52rz1pNVt56ISka7IndtaJuesMTFu+Ot89ryus5ExLbOTL/llp6ODD2K9bgEaXu2MKtctF8S
U7kboDHD2sPvfFg4SRhi7bdxmJ4hdXjrXMfRuIl6O6g5ljhEMVPgj2xDO/9maDDC87KAOrqp/m3s
9I809perose4639LY/8PzF7evDU/L4vL3/l9QhrRCeZBI48Ay9jLEvfHshjRdmwhOrGnCUBDe0vb
8e/Lok/1AWwXZuKMLtHGflgWHVoPLP40e71/S2a/j4D/vWv7Fe8eKPfP6yJcSv5DljywLAgQf0Lc
gsizuaw79+ilIRkrj1R5nbf9foZJeUrjyjug2cODLoZh+kp4Mbj0tIsPOLSs4a4oOjgJTWm8pUGK
A5dh4nmGzfHgc2OxVy99EPWNG5xl2jd3U9Krh6zxSAl2vTpmsW99KkoBfycJkhNj5C0M5uozw4Hk
MBphrZjYDiNWxq6cv4ASM9ZKcPhmtqTte2Ln+oTdKL8QgZPuO4f9J06wq8KzkdlSgUMlyeTJ6hvi
MCqDKpQZvrOxjTg4gQ8iVifS8boow3RfpmF0OTUxEgLWD/t2NLqI5KY2r6xJEdeBkNKv+sKpdnbA
ymIVdvxiRSo6W4a+sUYcoMK2HrAmFhvLxzeXVzi/meOVzndnmrDcZROzPqvPEYqyuiX9bLmMPQiz
g6IeG0Kwqtt7qVl+HVijd04NgK5SNQtvV+jHyk18qKepm+zLbEwOBGfBGLkDuYJgstatZXfPRagE
Bi453LaFmr9E0zC9YJp1bmMimwciMPXZd5Lx1vP5ckDWqB2Jhu7ChDr2OXO6cYN3O9iVfdrvA0vz
MeJxRLLLU3hjAyE+7XZfjchZqdqb1k5UXkCTP7pQy7Yd/ESAXEW+aTxxlekyOxqhccRrpzdYnZjb
9XW1r6re+x5jecSW2iriQO6whzomjjZ88RsgzzOrm5FwPsJvY2ydOekuyNolT/Gkoteg8qG4ghUj
dcD8quyH6iESrrqaTd+8YgSEhZphl3oGatlcJp2Z3ruFW+5xgdnRagByePDGNEhWOnWc23kK1FUc
u/NuCgJSJEzzgjug4hYLWVuFG9U4/ZK3NW+immsFqRRFL5nd9EsHB+EsaGw4EDB1Lvy2TPdZ6eOv
DgP1UgGoO+dx6d3iVZsPo5zwUxu9c2EP3gK9KeJr8FbNQzI7EVpqkx4zozuWuViyILkXIiSX9iuS
lH9VodMcIe2VhyRJ8ctmZCN2gyu967QcLmw5uFyOVX0wUFU6GVMx1WHkIjWlra1diuCNbN43rxqz
YzyVJMamzDsWlXB3QYiUNwW5/eS4+guiVRmjSbj2axDmD0XvzE9NU064bHPztpA+CusogTOB3iQd
sjDmz7K3PAttza/eiAYmNwH6DoYqtPcvGKjkPu8XWXZW6WOozGzdo1puzV5nF0nMjzg4DtvHjlRP
COHrPnCaFl85E/1Vq60HqpmOrGD+qcDclwMCWTPwy5Bz0kTfOpaV3nkiPfjT0J58MedHfHV4wMpO
49uLnFf0E3UMgDntSBlUm6BhcCvyMbljDuZ+m3Htrx2dyPUsCQZjptYvJPPHR8RE47a0s2LNDxpA
ipKaCCbO4RujHndD6lcXFbPxZB1FO69Nsr1oyPDh2EvJpN32QvQvBkUYsCwd6zYxwarlnJqbdTqY
/Tk3+/qL0068E9fcEPgJ9gQdxm2fWh2aN0efl5bWjpIj7ZwqLHZTAWlpiq/nptB7Y2xBEEyTF6zr
fvQX/xoopJjmAOYLDUeIolsE7Kh/jOcJg0uqI4yw7I15zDUqXZH3My/Y/ZZXUy4A01nGS2LrOlzF
MbshlUYMGf2K4XWd+2uE3GcmwOYxNXGosq+sVnaii88plK8LUcjo1sPnfWwab8xWZDHbW9UaGmhA
vvY4/7z5ZNL3CUe9G5MEersuyfCc+7Aw16HI5nQFns3fkmqNniJWjTOCjXzG5aAus7n/FMGwPbAi
zms8tv0ZoVJxKQ3JZZP4AMcmI7rMOre+aRNRXSXmUGG1VSlxqqzcFlYT76yInMZsy3LrNZXzrIfM
Pvgtn7IWYbGTY2J/o4GjuxroRHhznWpZXMjRvsgsVY9wUvt0xcQ72jlJFO/JjpAFmOJhbVhC3lgW
o0kiON6qj6vx3uz46nPpzZtpasttM9rhRYiLJtmMaSGvnSAZuNDYkEfGIr+VZjfvp9jp9jlhpaOO
5vIx7QAHIIMhCIv5RveOuy17qjqgJpszfnYjdwndjTu/Kvqz1cf2KbJi/QlDKoMEBBl0epZbxS1+
QQ9AecB+BYZWV3X0qn1fbbJ8MF9SgWeHJ5M8itbeTLbv3cxdYnwpAb2cSjjgO6JuzbWl8vTouQbE
NDdubtNpCB/jIRQ7i/nTvewVeYk+IJk2EYncORwYzvVUfc4xoH8x547Hf1e3M2Oe0Y339BNYmxm5
amU3xoWXmzbxg5yUFiCsYoBRu7LyjuR5ppV5u5weWPuTJGa8xUZklXSkPNe5E7W3VVylh0JyS6Mm
BVrjO6hJTAQirL7Dz9THPpX2Chy9calIXJJYzW76PteH1uteic1gsSkW93qIaeWzbv1Xwqdvpui+
B+n8Cgf/LkcQXcNjRLh2quxYY4jfAgx+sJnYnUoZBA/MIewnBNn8C/ao8bkW/MU+9w0udTVxzj2V
MZ+iO5VVU/XtnhM1CeYrtlo4pZm7aNPbKrtoXfIwSl6OjEixkI9deFO11eS/NL743iGTh5zZBn44
Ru42xiaMZGtRmHuQkuW8z7DQXqmyMorXkgcoe6+oBw4o9K5ilpCdQkPX2GATm4Sqoy+seMpPXa2C
V2/yqk9mIOLkRowyvQikZ9UPhCKk2KezThEIiEwSiQGk7iVfQzk2xqNXidHDyQQ1Gm8X4eBjFShn
kxsmyiJzsl3vN884NIZVPTKeA11OVCB2n/FlDgf0ajC1Wdud+ZPjLkK+XxODPanavewiG0+TaRTe
ShPJfiIYZRzYizzmM1MR6dvBiRUELqWhYqgKqbWOc2s6c5atzjW/5mluOa1JNbwtNMJTHfnGqnGN
bm/l48TMZdluQeXvIMc69YVSRy12QK3A8haiPUDWcNe6CtW+wXO4noR7m82y2SSVER9nN26PwBHE
qc5sdWpN+AFWSuMTkIlLvEHEfOOg+tQ5from2jHtVdUr4g9NtGVUy+FapcV2EG7JyEZqFjJRkovm
Zz50SCtYwOxsT8+P+d3tBNvoUpeka1F6HOsrMzE/fG7MLg+aL50bVNp7FBWBs3atqlTBF30/mvxz
iPuLQxxQJ1rBfnGK+9Djt9hc//13/hA3XYwKSycYEiUHpoBT1B/ipsU/4iTGBUp3zHJS+93cgM2V
XLiD5BMgfrI9+kPbXMwNURTgpeUZZwaLW+JvHOI4J/44AjBDc/FmOnAkbNcFnM5b+NGgCVfAUp6o
hnOXYXRLNzL9/MO38V+0/p/92d6fXmCZBfzAzKtHhwHyyAuEiE0yzFZd9Kb6M7QEAnS/finvw3kU
Hh5wInCdWFwjzqMf5wqT1VipR87sKvHSyUxIghs22OCJW4YaIO9Tk4xx+EUWAsv4njusMWZ4ugB5
qK5wzCrOvhYgWIP4Ou5cibi8F3VsUrGUd99UaIYqu+wIXxjuhemX8zFtogTCRZjQh+OTyhQPE9pf
QrTt1LSJdZNUBQrRxK4jp54hR3cKndojRoiLcaCKpGetwu+aVVLfQ+2Oe0DYbg7Pgzk8SYwVAi62
hryzTzXIlsdpTDs6OaouWM/9lA47KpVSJ7sIeAZvvNGfz7hNvOGTUeB600acKZQnGw5s4LnOtWsw
hL9I2kjCtiKl7+Zbpwe6a5TrViftKPYBPq5m/89T470w8a+eGh4H4R8u3j9NRJ6+1VmRtz9KP0s5
A3/nP54oAjtsDhzTshnEOshC//FEuUzWTSzc8Lctzt0/PzYYBVDwhOH6J+0HuxQ0N4YYLnqRhXPq
b3Udfnhs2Atrk4cQ75AXoQJi+ec/3NUIEh19HSElViHB2ExKPCAxw/ofvpP/8uz403zStxw+o8sD
EvELf/zPryK6vrLhPokD05HcwvCDwyMcRfEJkWm8ySBjHtO5YheD9ap8/fVrL9/9j09Gl/SPg/jG
EImv7c+wPemn6ejoMKK4KCr0LqibYdOPFq/rmfqO4F7xFgOlhaqds89hR6u+jcCs861foxWlNZG7
qUvobOnDdO1URnXqNFv8hi4IOsJSAa95qjkCcJ666ppA3KFaD5v/jw8RuHwACt14xP+J4Ve7S7R4
jmDhYSYY3WLeZUbmHlUwTJClsYtBc0NMMjL8K5Y5wlSOOBbSCDTx/oje3fi5Pd4UpMxWZj+rfRTJ
eYeZLT2ONE/hyB6sByod292Uzwz4jQyf/q8/w7IC/TSk5ncAU8kQD1QQlrIP49vGdbpuCobooJxy
2NScdVfMk6Z9UCR/MShelqI/vRK5ElyFi6T6Mbzk9bDASotX6hldHaa24sfzw+pUt051S3T1rwrZ
PtxE71dYxApOSMDlIvs4frethjSckfJ6sapveTpwKu/i6O8BOJdXAc7rgoyHlIsg/OH7i2oeF+lg
hIfaHtQ+5FsrnUgddBM+/PqHes+qfPj+PJt9SbAgaf/8UEhi2lmXE+bBBlNxnAPMZDLimiGPP2ym
bKllsCSGrqJo9d3Ue+FlSVnZBpyauJOoEhfYzKrbeoLAsfJ7nDYAkLDU95YzH2LYU6cixUOjuDYf
+zjIURNn0zUI7ZH8AJ/Gi4wl1ndCRerACK95HvxZHX79IdGlPl4lockujq+TuimUeW/Z8Pzw6BO2
SDkK1eNhwBpJfRBRbOovmqNB8dKu0I298p3i+5jWxsbTUEG4eJNDmiWAaqyy3ZHsBL6i1cDxB7JJ
5efmswXD+exhi/gUDFn27FX+FhKTfW9FGQJZDdFqXfsifbBNVAY5KxD5vRwfSb3Zmxzj014jYtBP
8onHmUa68Dx2MDYOclUUF6wu8pCVwt46sa8ooiCaXHgKWjR+iX3jFOFDLbzkmKB5b3KrkoQ2Y/FF
svCss0aj1eKIuy6hmFTUzwTuZRbiBOqF76E7wOvw3bJb+51fUAdngffUdaGf4O+t0yqnBSObjGt0
k+nrRBgVUKFst7Funb0n3KRZJb60YQiUPm6p2WUO5pgPZdcQK4il/l5asiBAYUbThM5EnoP+NhMH
YC7HF1RHBKTMrg9eFKXHZErGyxkH5bWfMo1rQwXF3snUcN21OYpDkjKuhqRjwNZaS6G/GdoIr4w8
NTZurOgsCeD2ZehFqW9VW21HRwjjsLJEKVY29IWW1oTawGGWs3FMLpfvc1Ok2P/Y2XOeLNjQWZnz
6knwSO4ozWOsieZAoJwejVS3Nv/UnM8Id9AaCbfScsL6soZH4+zBSoRH9CTnrRZ+c5PwPeVHxrvR
Gt+B86BdyJTk2+s+RaysHOcN+bbYaWkbWFJHdtRwGOpHkvYdvNVx4KcZ8fuPRXwYpm4npXNri6zb
8mzrjy3srtWENhiiVdpfnZrfvEavvJ3q9EoJT66NodebPk67TSc4kkoO5VhLEX3shFN47Lor6BTx
fZ7EVwxUPpHZNQ90wpp3wpqBXdT+MxiYNzsDBDnUxOKNxI+eWk+Qpqhr6zIYu+GUI0Wsin5mlm86
8arjMA1/g6xLEBmSRxSwMyvLYRvh+LowQrJdugG/BZ5YvBqlnHgzo9hJW7trqeEMrWqzwhXBYhRs
WIb0TsUh06NkUGoDL9fe182iKM1FcQmlygQS701vCeL/baeagBjExOxrBSqmvJ5Bc/CYaqzqYmLU
cpT5mB4sR5mHoOB28Y2pMPUqoppEd1t7sOWKttgKQ4YUJH0TCBq9G78kwuq+wl+fXpy+Hk7Q4Pqj
7qMWEbB0L2vTYGTeaibHTN+PHTbsa2OiirlLQXFBrEuCxmLwFAVztbGWAUZmxhmlT/P46PZmvsNH
Qo5bx+XWTQt3nUwdYwCnU3vLr/JL+so4NsBWXHkF/5M6GV1uFArTKSpNjZGvI4nrYxmpGlPvRNJP
3/sWXPuZapR0I0o2BRwwELMLFEPEbcYaMSuHRXQKZGNXosljiuUT16cAohhpF2zPtuQUNLdm8zxT
anRtc6OeGYBVMHkFlckgcYv+G+T6YROleJunJKm/SFgcOwSu4EmCuaFnKbAeDJP9RVqU8lprrJc4
JLFJF4NJCVWU8O7e6+s6js7b0fT1XRq71UuSOPgYTaBsymBfSJhm2qfAo46DW+ldGUfdE7Da9FhB
ZPiK39Q8gBbn2VPzIauS7ZefFuI0Ry7va3JKAEWzOAXwofZMOQKcgQ4+yQS64zaqez65VvIa1t6w
8TrsnO9GXsAC6O5BKXDVQ22x1naUNs8xOVXQk8RrBt0Bd+n7lo9k+NAXWieY4+Xo5W0d6r6vLR4M
uFEx45StjaEXOhw25Q5oJfD9dSn8aMU+sj712CJXliOn7+yB+ycFb2brFHZ1SvCuUwnkufbeMskV
idzwLiDQGncTLyA3UG7YXogAGw8ZKe/TIDwAEsKX7R3NmPw3HXd3tWlXm5renxeTQF2jrQSqX1Xs
m8SeB9jApnPhjea+rXgoWMwIz71TuTtAsOMxA2ez7tNE7gpHyG2Rdw+WIHM9tC39BHhltvh1b2qR
gyGEGdPvgT5Ncs/XH+gvtRtW8rJusgoH8MQZmSq5blq1GZbK2rFhQEYiw0zijoxaYRHZrjyPYA2y
+fi+vP8jc/3FgRUwHrvh/+1VQAYp6revxY8H1t/+zh8qF3EcmA9siDC2Yb77z3n13d2HOYAsMWAA
pGqOcb/LXOhfyDUw4oETuz9b+HxkLjaM9BvQI4LcFf0tmevDrs2k0JucNUdWtsA4CT5S2k3EcJOK
MuMCN06VEIaIonDqXuo+cvP6lJhZwAxBcyaQXPINvlfv0onSDAR2xvAmWJ6lk1vGp4UFpJ2r/N/C
ElyheBGauDURT7rflBQdKk+pSy8eeqYIM/9f0R0oyOG1Hk2PCfSMSa3LulFeWn0GzQXYaRgYqGMG
U6MeaTc7cep2gNM6Q4qvnexdb76yyi9Vvn4Ln/GeYlI2qdvQjYfgFgW+k9G1UkQNwBmxgGElN7K1
1+Uwg9OupgmV+C+pSPr7iiosfzun/3PX/MVd47G1/OVd85aSh6pz9fbjffPb3/r9vsHfyvkWsXIp
d1+OnX/oPCiy/8Leai5tnZw0LJdb6vf7hpvN4vgR0nCAe+8dkPC79dX+l+fwLwwQJN+NsX+LgvCh
YhsiGbemTQ8QRzqAC/bi8/3xtMMUFFxu141nclAU3A9AinD3JUv2Mhj6W/LY0ykZGZ5tTVO3zNHd
/lG7DTO7Jsqr5x++vf+iB1nL2eqHE+Z7mQR6DNAPJKeFDfHzuyGdWupIdj1+h9w6xxq/0KoLCliL
Y88If9UPbvcaYNVTqzoL22pN3wwWVrrrAncdRkH+NWKres2/Q8IcS1PrkahbaO0n3xPfLKrzxt2v
37H94Yz//o4pH+W5x0kRwMOH07eroEbS7dSeKYeM441PxeVjvwheO2b3jLT6abSSjWI2SdbGh1o1
adPZZwgcFrTOov3KcK2x1soovQ2U4AJQXSY5FAe1p2mNKxJ5w9bilDURQylylNFTI6sL6jC9casa
w79Steyzv5Bk/vwz8PQxiRoix1g4KJcP/cMRmCcJbLkybc50wEdPRcyMAscPA/RVSQDyBt9VdF8K
K3359Zf5QQliahYwjAYogWi//J/lbf3wsnBIY7ds4vych7N1puyvO9OtQH2ikE+/fqVFWPzxOlte
CfccXBnUE9aMD9dZiW92rrC+niHpu2+0vWKoEm042Stdyq1Z0UO3dsyJHBWM9CH7q4vm42LFp7RN
27ORef1F/frw8siuirM9lIplrPeGdOC9adbndE8DZYO+yIlnMvnp90NavVusiuAbcEfKQ9EQiPs4
tUmGKwG8nATwWZ26tMEHhNP0rTT6cmMaEKHX2LFdDs+OP3d/Idt+pH7wQyHY8dhYBmHugir6+Ycy
/c7LPU8YV1YnsjcF0yxe4XdrcSZgasvj0yCV/hyHERj8uaKXDd6SWmOkCL63oAaK9STjADpW0n9T
tRN87T2G6qdf/8TU9Xz8kdGuuYjQcHi2cnd+wKH4NS6jWrbOFZ7tUkSIBmib+6WqNtq1wAs4Jlbm
bZ9NXreCBIuPxsr3jV2X+3Qx8+q0yu7K1MPhG6RD/DwkWXHEw9yuSizRjyDMww2jHwH2Y3EKA7LE
NSySJj8Pi5W4WkzFMSgFRNN3r7Hdy+wA6jq946R9wzDeGVm6g+rMhuWhfXcs+4t52VKTzbPB7eZ5
ZQ5hcpkuRmcc7O5JLubn+d0HPZgSwBjXvMJTtzilh8U0bS326TkZv5QNmPiOprPFYdgGZOqrDlOe
bT9U0hoo4Q0MHNlYWcRn8nf4tFVeGZ+6xbxdlg30Nk5DR6uK0q+qL33u+8Xwrd693/1iA68XQzg2
gnJvoU5fVwMQdXeoq5317iFPOerBUh/ocV33i808axwM52V0jWUMDzqNdO2BpcYe1vRRkrdog/Rl
zEx5YddRee8BC913UWLYeKKz+S30i3qLlY9cLeHGeGfAO3uDejx8p50Gh/z87pbP353z42KidxY7
/RQvzvp6MdnDXskOOX+U/q7Fg4/7Hj9+8u7ND8QAOOHdse8u5n3n3cdf4+iP3cXbPyw2f/Xu+E/e
3f/OexJgdILx0oftmAr6qao2y1aAsuGQf5VC2vb82gzGuHAdI0KFuvhiT1nSOsiFbdeV5rnVLdky
uKHVvKfZphVUhCgoBomdFvdmYDgoXg47xI7fQMDKNpewpkRo2OSCQx09i3qotr4eYuSOtLXENVFA
n9IHjZYuNwwTo/bSb8gjxqtBYIMaiEt6xs43ZCKuMRU5frxmp4j1wnJ0k+3yVNXRCh4aO+DtSCIR
xAPjJlBtgpgBPUACm6yMukHgewtSECyCXcEOQ0s2r8PZ44mZI9h060zWBuGIhtDeTaMMauuKWIXf
ja7ngLgxC7ulFyXswrOHJ12ccidoAy9Z52NTzdOhYU5UwxGPZUDzYNPPFdEGJjC7KfWz6WA2yFxr
AvspSUxUnnRf0ztskJ137WejzGZrA6lXE0HQmWlcQ642SA4ztXlOyCtnR6eOWqK2dNrdER526D2A
cmpdyEE25NkDScCFoXBf5vcsxs4J6Jytd13JO9gWLaHxbWiNM167BMn7KgupNtka3Co1pTlWd6rh
FaSbWDhxt2RH+TlVgMK6yufEmb8B/IkwN/IGMoz8dI4fLTz9B2hq2ifUTRZ2owolNjPCHMDCoS4j
KpqHxF079OrNMCITzjfIV+7OKgXlDuRdg3JrTfQIH6WyhnirI1di+ufPwfABAMPlE9M3Ng4KHi8o
aeNTDUpxogyU+8g+k4dVmAjD3jWcB0bOdnf2ywircg5y8IrTBUtSDFaOvxDBN3Z29GVb+Svqfy5P
FWHhcdcM3qwurDZuH1xIdW/eKGDVhqTWHbpDR0ZPDSI9b57SHaqanEo3a6h9W0Vf9Gs6DOwskjjp
7xvPHz6XtXQOfTDEYhtqxqkoAYJ/j5cWNIbndW+dwYI77m3TetaD1QJ/Xg14rkKE6SnAOGlniTrU
0NWxdQdxY18rI4iecrNaLs4kqRqG4A1YnXEinr82qyX+JIecN1ZQh2FdsIJFT0wMuLoznpL1JrSi
kWBLEwn7JqkpPLmzQwKex9FNhu6qHdtl84mZ98bThj9uC5yFw7Eo5hlQkM1cjs6OYPnwy1sfeD7x
vmB+nl0v51N0FX7UldSFnteR7rl1yhTX2G1OnTY8+45dQcw/45lqt7m8rix3AkPplNLk5wZB011l
ZKubFT6zCoK7GZjOdmKiujw0uJnWfCIeIPCrl31ym2dPEK2jU9jTTU3c3tNcFxQDvA05eObVWMNk
ctrRbC5itrkJqTeq1e5DVot9k5vWuYri6tUl8VktrcfKPhXott2FgD7Tb6Ya3YkN7uTsS5uvFVNC
NX3RqfZuxq6BuFuZU6+Z12Rxc4Bkn32ncXd5huBlkhvOASGWU3uSzQ5MWfRsmCLbZUMZV6vA5TE3
1YO8U2h8FwRyE2/j2bVNFWjKEHyF1h491YnRx9vUzrlNZkM40dHNC6v6lvFAnqB0cEltKSHhGkk8
2Nc7aNj9lkVmqC6QuRC2RJS2PSut05tsvavkUx3R8GRMbNMRDtva+srEg/lGhv+np9AEcsJ2zKyl
p2agsO1Y8rNwtoelSbM9MuDVOAVwnnuwXGHQHNwM3uRhHpb+KaoCmplcgS6Kq9wf3UujhaW8lVWe
9Rcx1exyHXpNJh/YiTRfTarFKKEKVLPIag1jiGjow4pVYKruiWBY6sUqMFX2K3pS9PRIAt2I+Jdh
wMZCDML0ZIhy+IyKYfTUYUObOCpQLbdY+sS8rzvYmls1L3k+ZbeJczNi//POmV8uHQoQJPwr15KU
Q03sbpot3AB+tSHMCXDUc7BYUJom3VqjM9abPoXOs59DhBBE0jEONpOAD73G9OZXz4M3WQ+JJOjE
7aCiJ671rLnJI/JOu84uIwqBs2W4MnavNsbM0AKs1QePHiULA4CMuHVpwUnD/q4STQQsPuaK3pbK
4dfk4EBATzmtBkRWl9K5sUdaRo5iXFDgahyN+ErXBvPDrIG8jvE769qrlBwIx0gqlneNDLWkkcw0
j1Plct9PJKoVsUEZXL3vSv9RUv5CSUFYWA7z/1uAvK6/xUX+o4zy77/yh47i/8tlK4+9jtDvQhH6
SUfxiLnjDeNgbfKn/qOj+P+yfRuqEHR8Hn9U2P7HZmctNjtOL3948P6O/ujYyKk/HSkxWXlImTbL
kgO37aMQoJtu1kMXqZtEU1QNYwO3RUWCU9NXL0rXvaVbvG72QBvyegc8a9laDcs2S4u+GMZzhexK
wYmu9IqtBxPUOxmSlB2fvbA3tLn2dZ2t4OvqQzzn5nDTppX5NTPLwaSvhQ1SyPFFhvSpd1YRS/ym
tg6JzUZuvGWrkZyyJLe+LyjEgnaRKvxsMJNejz68hoDMFjOYeF6PbMPvPJbnfTwX8waBFC1FI0rg
g/a7blXZNTVQc1rWwHMd13gMTONzOPpyk3kG2A2wlGcfV/hRzXNyOWqXzEXvdZ+GBHyJa5b075Am
kHd1sNxvTTFON/iMRMQUasjqrUPgysCVPbc0sFRpuYlMKS8qDM1xTyFiGw/+ZzX07WPT+zI5e9Sc
bhqcxdeqNmFIwp2Qivnu4mwJONCtRISHZdWYrZruA1hO+YZfYnoRU5GvCH6SRZ5GEd+jhQhcPsWE
fDrx9o/KF/JiHsbxxVXK8vbgNZj35k6/jXyg6eRkk8zaBYy94hUe6PJ5qke64uKKpiNQwNnJYMUs
VoYXMjmnODO8DvUQwExPXS6JZFag8gDGNTPR5aapN34aTK8tZe3+DZ+E7hSaFTKinKkcNyzubKHM
mrIgI5Hfwfy6WxkrfWiU2+2GmHYg7PEMcwsZ3FYzj13iBzreUB5c3Go/q09TQTsOEyPrlmagYUtP
g38SLhoPNArP/zqUkbUZER/PARyQktqTIpM0ZE2QOXZVbpSXLgr4dGXizQ/KE1v8IYSw41GTE275
IlxIQD2wyRtXV7I4sqMkwGY6aopzBG/lc+LJGvdyEDrnxCnJv4R0FuFnoS175tu77Zp4gT4jDtxn
Za6GTcAMv3xK6z6oUOWBOEwScNKqBmCZrZ1xXIjRNn0Ap6QQdXTpc1b4SoR/KnFdBTpYpeGUGZe9
B+2TPr6RYh0jVJd93soLX+QDs2vJiRb2YLedSvwLxzFmYLZuljE76XTflIwvU1AtkemmEJ6sqSXV
tKRaDuYSWcaRoW7UOFnzWlbAlFZFLTLubBEGgu3ZpKB1J8uMuxQENy6h/3dL6MZ11oXk1wSSTRx6
bdImO68S7BoxHixTNeT/OH9fjXM2nNPGWyrdA0h2sQMtEv8Py3cSkNBKjUCdidSn/Y58EdB+z4L0
usnScHixVVPs22ismGOYzd3MWXi+jTrjizFHOfeU4RcjmwsmcOcWVPO8ayvm/7u4m4oXbHemu2Jm
Ih8oIbSLPd6GmiI/08UXEBkgvQ48iaZ7t1q2xDCp2VWqNLX9fWpKNrZBIpwjYnL9fTDcRw/E06XD
PHa+77Xdl4dBw0Y/1tDbN2FpWBdO05hXM4nxW2ji3I9AuBOCfDFPM6+jpUdPVUJRkhOeEiNk/hxy
mh4vRws+YeBQXLDhlfQ+DEWz/T/2zmS5biTbsr+SVnOEoXE4gEFN7gVuy54USWkCU0Oh7xw9vr4W
pIj3JIZKzMhxTtIyI4ME0TmOn7P32ljXcaAk3KtqF9VL6gM9sW61etaHndXDMpJeap4rWXqB5aZU
RxoG8Bh00mQ81AsZCyRjmtznDFzsJ9U4ZA0CSKerlg/vV/+gClQlBO+amAaMo7R1CkOCS1cYBbe5
Rb5ZAKszUmf+BQzfhgbia2ObIA9wuboLRlM0xTYEiVk4dq1vmOSKwZ96dvEmlu9oY0uFKqAc6uGA
yMiqgrArxqjbVESoiUu2lz0FO7DTBwP1wOMwYpzkEUZADLSCe4OR5iBdxkTSTgw/6sLZ70x2l6Bf
yYxBLwGUQrNDmD3TiLclbMVVXpg93j/lFMblSLvxcukWme7dprKem256xuI5wHiDFWH4RkLZtcWB
1LGTHiBJXBbrHmZBjX1XEP6itszvp+jWmIZQsZsT+cw+vvhzW493iE1+07JqXAGzM763Uv9bT71V
T1nMYH9XT129jP+6fCGL7aeRrvn9x/6qqXT84tRLtkWPD6r7D/7z7zNdSzJ/Mm1g0jblzl/+8xXL
Yq3+cpMuOqQfpgN/zaZWLAsmVAwqFFwm4+B/UlPZr2crJBQJUn9R+sO/R/D/arbS8CgB9ynTC2Vi
hvqIbxfNYCkcbFM6sW2rAGwk43FGOVq1hXasmFDYim+TUx4qTLqoedr5i6Ibg5tLp08Id3hYzlMp
nZdG5Q6iGXBhS3Mou4gPO6r6fJwF2fJEEfZrgIZpsgPLHdogG7QzZD8E9PtSJrF6onXO7VD1aBeD
+vvElvgnxreS+kR/n3+f6y5CY8PHnIEUtRNBnON2WufA5p9D4YjwCmbE8jspJjbJRwQcs9pCEDl+
Z8qk3wAzrUtxGLipsHL9KfnOoSnrb1SalkxI/Uw3BbkSAQmfY61VO6ep5xubHFasBDPJZ4ErZ235
UJcQFf+7ofm3kEjMXn+7n/Ff8o/jR/Xy447m+8/8+fI5OIDQKSB6Fw5k1G/k078MADa8VN65b0Ph
76KJv9497w9uNRILD/f/tw3N/757MPUFnAZeZNt0V6T9P3n3DG+djvwwIgMuwY7NcJEWQ/FHnf/q
5ctSKhtj8ZrDLOf4GfpOWRM7YkHpoUIBTuIoKoe6mW/yCu3QlkgjoKSOB5tdr3fAHEownNZiPIdJ
TxO8LOlx0ngYX6ZOruEjMCjp7RFYEXU3patRjPb5B6Ep6GTwWaixvHY/WzqJ8ZOHwYeLmByQCNn3
aQcDcML8fJWnNs4/t0du5tDvINmElKaTNNDA9RW8Q82hOkLF1mzou6oz2cfpRhakYGuTne5H/jhz
YylZH50lCY+Vpro7ijFxgh7xIXUa7TnJC5B8TSk3gpg1BhJmRGO6Bg/ttigJJ7hpxdTeDm70xdYy
TjLkTI2Yksacs53nsceZbUujwVl2ez1C7wqIYNzoHglnpQ5NlkQ0Ykuart41C0ePB/NWWpNO17i7
7AjR3bAC3SaG+wBr+5JcIirqqbxHX2JcTHDx8HSXA97pcf2P4qKaEaS69XNYELyzGN0EiTr6QOl8
XK3Cm5VvkM3Zh8ZeWRZVdT+l2vI+yyFG1hYCsozdyq6nT7dNEmzbjvcwWWEQOoxnCBla/4RmI21+
NaGv1t5ZHP3ayjSNUVoGgrn18sdq7sUjvSAwkSsMFZWxRcoWvEqKR7qGOll4S32DHGIhc0U7dWJu
PiK6VA81uCgSiuhPbq06p79kErk32ofQXah87K65RlKrnkXmPsg2qUiXRrtnMGG4IC/aCRbHMw5e
I12ia913+VJrDdSB8R1xdxTCRdU6UBtX6L8X9p81vVHl1ml067YDUH9VJEzEME7HE0LEuFmCPC7v
LZQCgaUgKflmZd21eQedxw3JErBimoW8OZs0GRLcdJTl7NUab68aC+dxVBsEOiczeT982TYdRPvq
yjSm/hyxf2DDpjT7HT3N5CwKqX8QnLjfElWwLRKMZdCL6AruDJfxGsSSWT+PM/D2Y4V1HnxX2s1f
CUdftL1LzRZ+nT1nvMxNRS5QVELvzNlOgSHLI/z1qXH/387Vv2X1wpFCr+n/37l6emm7fz0mKkpe
6YBYqNef/Gu9d/BnEVziAaOwV27P/zawXPMP1mycW2gR/lLJ/SUE0v+QOMQwkfCFoFO1mkv/Krac
P3B7SRZVSZ20Nrn+yYIv3VfqC8GHhbk+nxXHYFxuvU4cimYx5qi+42NbOP25IliPPQkF0JlZlfBz
0aE6znrLuGsNjVzPiJoItzI5ocZ4yJj5keMb9tA3O0/d0ztgZGTl3mPidoQprRm7RPl61bmCJ7br
YUBk0GJj+9iGi6N2fdqHy9bWxAjQ37VzG7mJLf3BY+dnQ7Y5ACg5lS5ooI2aI7WJCjd6Z5TMZTaD
rULGf+mzN46PoNJCVuuwnd8t3bA25/N5lwya7pPK3N9GY2WcIImAbJjKdgw6siERQ2thc2cTO3rB
j8CAU/oazVlpt0lYp2RATOl4UFbDJmmcgZ60lv60KDWcUxQiDzSUrN2s2vjG9Ghzbzza8NChy6wN
zALaQmKk+Y6+4cDaPc7FfRTb9s4k6H2bQnFF0dMYZ2K33lUZYqHI7YZLV8zYrvJuS/5qRfReBfKO
Zk93n9Wpc8Mo17oNKSuwlEsljB2LLmecQy71vZ4+Fg0oEZj1YGzk3OQ+f3PmWy25X6Ii7dzUHIcQ
MeuJWVZ9gF1x4QjCoI0+vo7cZejoG9H08GFEm1thw5IpGXoKVPVqCDHCsel05UIoZ9EdvLHs3okW
pTfZhosRaANmVMHUmgy9trS5H3Z/QSfh0KX6e1Y32+85lwC5+GNYzvrJG9W7OSNR1Jv18sNax5+M
uHYg0rgxzhrQqEZn+3kaRXetQOfo45zNL13iz64YPxZc6ryInU1dVBI3TCtvMksLfS12hvfALczb
GXtuYEdyupiX+qUz6aNgBFhkEDZJdLOMaXuaPNw3qeSrw1j3Aq9SuIHPCiau1MJbw+qe6TLxKeyc
7BhL8m3OYwec+Xbyoqr5yPa//QBtpP+apINxK4vaBmTTWPeZFKmv2WV/QXevkYRTFVyysS7UZW/q
HyBA9ldabWrYC/QXURaYgsaq3RZ22RyHlA5Cnlj6NVEwBqG3agZyF8X9w6L1qJGGMA9kg0NpuxR9
Xxx00dvpLpRVmW/zchw/xHRuV2g4RRT9HqJnCbNUxmbhLgfIXIsgKdsB1Uu1prTosX4BD9qxtpMx
h7dDbd7AR3y/tN57XYEfRKUVKIeAxYMHwcHbCqwQCtweT4wemfIJ18dDFNYvutkTX5E6OVG/woWo
lA+Dex0jo9mUHqDmFIrDIWLNueM30DO12viqbZIzBfB4nIyywDMm6ces4bKjedl67RLBIp5UhLq+
fl+gjkO73s0Of1LLyL4P6RuXa7hOBr5msPiGDnKiePH2s7DiY0baW3NrLlRFhz40Cgb2/ZyeMwu8
Nqq5Gt/SBNH5srWpcByrio9xERpBU1NPSkfToBADXxAKadCmW85sm+BMd228z9ycga80iV0JZ1KX
9XncAa0ki3LKs+fJtsjkSJvx7CbOTpQdDftwNnqGZCLbZCq1b2lhZmwYM/DHI9kZLgB7wKIF8v7M
oqeFNGQ/iBawvVFEl+Ngj1wBAOAPTa7bR7tz1eVEb+pxjHywi+cejwidvxZgWRJVbjBpVrFL67Mk
I9EMJ+lXCi3PtIRLYPNvnXNbry4NhvAo9oUGPa2pGlP37R6B9jGTg8tKpZpbi+jKB9d2462UdByh
gzDbnOtl3odaWDlbL8+y90vq9ej1nfFskzu1YYH4gDELHvPQx9OG8lHtaBISyLEMV/kSzV8x1VHk
DY6zi+1I5HTO634/he1nEUoSDREzZJtYloZfYUI5hsVM6jwN3osk7z/wYZG7scuHQ7k0MLHysFoF
DfU44mErku6zWfK1CaB3thdiRSkOkXEfIds8WFrB9pjO9VaVbrrPHVK3cPcd2ppZicEHNigdYnOM
UhsOpir1oz7j7gip3Y9yFFOAHUOH5oVBhS82STK1bl70juHRRXCSgOjHu1Au89ZpI2dPK711QY4m
K7ulR8OHNRTVBmvvCEPIxyDaQHY0Ctq+kLF8fbJulFFttWoy563NK3oZ11FyBfacIPK8hqqzZB7D
7sQ4YVZFd9M356komkBn7wFvT03bqKjHIM3z+gIxCxE6cA2OavE+oTIB8GWrL4zt+6DPxk9FATFb
N2Yj6Hs+N4aKj6QwRId+zC2/CN2rAZcmQ27rilxU0Lf9YN8SbVrslNZeRXN61+utdjvG6c3EdT0B
gzF5G/OryCmW3SQzNidTEtkYeYZW7myQPD48FoYA9tB3W4Wz453I5m8hN6O4IyQ5kqeFira/nFs9
qgKTL6famMlk1ZtOt2ZmWGKsoIdL1KA6ERBevdwXie5pz2NrTjOaWgfFGy1mcwtErAQiC+IsZzzi
dIYxH2o7ubcdJVN/GRZKmTbLxdWQGYrHyjZgEMEWAqJvqOJlroyJPOR+aYgaN7XYr1O1PFl1Pz0V
ZGqeHGgP574p230za2NHwe9McmvM2XDCozSy9OdEekxD3B3IOyc7umDFdFGEfJxTN2XO1acnvO09
wG3TKe5cxu2nQi/IArBwzTjeCO6VPSTKDW3fdqN9085usxvdxthZqiM4oGDaD8HJ4gKxg5t2sR5F
j2IO4dWm2MBAHsFQR6EjDola6C3rC5LGkTicccPXDWcPxDvrrGp24kGHrGAF0s89ziu+XPrObvm2
0fmP4Zi1To8sMAPNM7dGCTXLbYf+qMczaIo40zDBNpLCDzVixpBHeNeGrUE3rrqlSSDTNl5Qud6i
SKftpZ9Fjf6+tVP2V1Oqp9gYVHOXeggJkOGRLVoxA923STjtlKvLw0JM2gBPcEKDoaMoAdyv5u4J
0KnnM/MH+5q6hb3JufnPi5WInWztvdWF7EsTgMk0CdCw8/MQW9vKGhBW4XXcaEkbBdakFVdilowy
qICafFvA4zyKROhPYUgrIsI8Em+j3nLxk81AOnhcOn2LsrV7ZvFeAouLdK4845NYeVOzY+sF+/g+
bNiDr7HTnsqIher6dKaRYRPi3UlC6oWMi+uyaV08ZqiZg86OL2t7rHceosyLsXcADMduvWKtXPu2
zVEYBa1d5ntQ/SrwuGkntwcg5ecIlr9MMPQ+eNTc78ircc6hiCGzJfPgXLQ6pZkPFD/yLgtYNVtz
dp67wmqfmGkyhIhsscs1/GjmZOtHReaX2qJ9lO+tWgzjtnVrRQ/VYR3ITe+SgL75xaRvv8Uhb3xk
PU2A72tGgDZCPg9D1s5bhtFOuNPIbEJWqy8mpKhCwQhgbM382QpQc4GJmp0sYAjs7b0JgyrJVsN5
cYbxCpPXeNc62E9TMu7JhCBOrEJ5/XFuRiakZlUhcUPvIze1UaugARS2LSrQSFbYNYEmY7kzB935
AnRluqjbBDRKs9T39Ui8z5b1PP1adUb7wGQkf44MQvawxKXeCWpbeEqAkZ70Omx2Ds/rGSqMvLWW
biT/rmauRQ810BBKbgxH1MFcOga1vy4D5M7Yb50uxhiRF+VulLW9T3OtPKIaId3by8cHFNzWToNb
1tVNep1EKt6kaTFcpY5jnlkkBp8XkJfFGUwKFlY+K1PJNtaaOsiKVAazMOisZcPMOL5oedeVSM9I
XMIA4nhDAdXln+NM2vS78ngMkqaXODur8YsspthFPeZNl4NpThZtBlH9d9LybzV6VwLubyctuFVV
8uXjj43eP3/mz52/q//BrwDPgctH0Lv9wTrnOmzvgeutTjhGLtYPhCgL65wORZ+qWKfhz5zlf3b+
+IboIEjMaih65UqP+Sc7f/oOPzd6sbcybYfwSxuUXgMn+6PrIkL2tLh11R9Ms4cuBicSoa8wY+9C
9JbHImyr8oJQNagEXkweyg+9kpvvDeV/lX1xQwB21/7f//Oq64BaBp8P0aG0ShxIN9+YEz94Ppom
WjyM4t1+7M0hcOZCBkZi5oBIk+LwHxyK7gEdE8Eu5DUrRVls04zC7va0HJM9I99xw0akZihsNP/B
WXEpvW8tFYmW+udruhhTxmdEAP6bpgTwIT5vPiXZtpuc/vj7s1q9Fj/06b9dQNBCuoBrsiqP1tv7
wwXEF9Vnuc0F9BJ2/8Nsoh9lXZgG6UdlSA5BRQd6DffbYnWptr8/+KsJ3Z8HB1a0PsV8rV+dZwcB
NrTqriP5WUiwxVMclIZo/hnhhKPYgNXAcdAhA5nmvDpKSyJjOzRhv1dwtOkxmCVMIntqnCFI6wKM
++9P6pX76dvhUKGg4zJMHpN1vvnjFbWbwbRio+v30Uy/A27fi2OZX92oKuitFmhI0j/9laRFRy/V
L16Cv19GmE4m1llBFAZyjVezljCGJOlaVb8iUvmAIUblZnlV8PvzWi/Tz08KR6FRSBy5jqf1NQpO
sBMukZf1eysZ5o2laRdEpFzPhkl8m05h9fuj/eoq/ni0VzeNaXPURHbe71eE0CYkRzMaqFXrNMNg
SD7ERmXZp98f0lx9U6/PECMwA206BzyQr5aymY+jO468dmBoxDXz4vwx0nvmH9UCcrGKGAw1dw7x
AtsmF+0X2enuqbatQx+paj/03hD0E5R8NTr152mytOMM2GdjUnTcL2re5DQvtkbWLG8sTMYv7r+l
C9KTmfnRJH79xLltJIGB8holY0+nQKzhlwQM2kOgaRbjIGgV29qtRt/i6gUmNNUP+uJMN73h1lek
klgUsBG1uGtFb7wLr2fw68vAiJJoZ95wRJavrYCpR1cMc0eHbyoOzDC2fQyHE84R2aHRi9p3U2Ix
sx6ll8NLWcrTVKbqArMIlJFiYqwDzwI1cJtumrnUNxbOBT8s2XvDy5vPUW+qK1Mu2hHxJFy8YcWX
I5JBr668xx7bwiN4Lfq7OCDYQ2rOzrLMZDNYyg0Iuzh1mQK0p9EO60LbA4Run2ORvUM+TByTmK3N
bC3ZTjFSJNCsu64gbhyahK3iLEjhmsI8vGBvoz9pqhn2aQlFPrTnr9ls3XVuBwYEgvUBmV93zW8u
d79/Wv/+gri2TWHAWy88SQn48zIztSSX2dAT9gndMC3rY4yO+tFIpgckkTW79ML4x68kR0QTD8gU
uhHrzc9H9NQ0sDnLur0Kw6PRilU59dkrAZZYOHzQrj///gz//m0nV4fVhqmG51H6vFrW2sgbSu5N
t0fxVKN6EOMRmhKmdlPN/u8P9fc3iH4UUl8w0B7iFLn+/z98BaOeoeaInXbvuYN9rrTGOFbsr964
gL88ipAuZQpuF67hz0cpIAwU3cgF1KTS6Z6BszngsHFvfn8yxt/XMc6GkASXahHB8zcO5g9nk+HW
MSTNpP00GZWPeSvdyanAXdzS9GS64VBS8OATvYUTz33CDLGvRPYWCsuwOJ2fl1Ps6ihL4AnCJ2Qy
9fPpNk0llmRw2r2AkB+MONF22JG6nRg75MaWWMQRxi4tYr16yavRucu6dNzTAxoui2WxTtjewjfu
gPnLv2kVba/MQGrWV5+VSGiaFsZWuy+jvjzqyg48vcd6Ap7/KmzR28ZOX7/P8ePAp9Lm675OCNsm
T8733LLClZW/5CjVrjJ38pdl/AD02tw2SVffzyWtj7pL7IMdxTCM5vwKhv5bxcWvT8CD3cB+GirA
qiL58UkNDeUx4Ri5qPF8FxHXvetHEb2LWcW2NeJDWh2Gvi0g7/DFUsUJd9dH2skPrZLesa9DMESu
GgJMQN5ttTjVg0uS/UJa0slyyT/ENDOTUZrCjkq7fIc7rn7jk2Cst/1vj8UPZ/DqLaANyx9czegz
tDQ6hUhLT509gWNax2wImDf0fpgGpDpyUNQEbU1Kwe9fEOuXTwFafzQqqwrt9evuzqwl2HbbfarF
3cpVcu1PlFU3jmjhYXj6F+Sx0xOC5vgzBvKuH6JtijrMz6yYWNKo3Zk6wdYKOO9mxDhXbByzr7fI
5/U92pAVTBUZL3NpGCyVzr1Dsqatp9hGNe+pdlN1MAZbv9BsIz/AnPpITOu9nDlQJL5FfHmt/cY1
/3vptg56iSajQgAJ+pokiODHyUJyZPdNmj+VsFwHWEnaQvACyZfWG3XiL5ZtyWefnadw+MWvqZxt
nkmyD40Wdk/51cN9z1cbyYjA+PjGkda9yasniSOt7AQh5Ao8/fldaMKor53Q5klS0QNAp+gpzZeV
bjKzm7DnDA+SLjWazdKI33iEfvH1Rdxogr2w+DBReP986C4i2yZMdZguaO+x/tPVbu50EX7Nne4T
W175xgfqW+35t3Ndp/xQOnGKvF7TvUFrpyThkWUbXt71FnXPHFr+XCKcsoblBcvbQ5Xkkx/NNcWN
YGw2IComyGV549R/+TDB6+HLYsHZeP1ZTvpusOOB93d0q87Xa4f5MZ5lOqVVtLXjt6ibv/hoQsbG
sAPh0wZG/OomI77OIlg43GRsEnsEMuF26d34jT3iL68v1EbBk8TlBY778w1NW9iEhqjbPXtkxWBt
igmuwYcjQyJnRuzn2wiLpa8xFAfJDuuTbkCO0Vk7L4t8a438+6bclQa7QjblgFrs1+8rXD4biHzG
H4MaFL+Gg8dMLYwq54iRjaFt67Yo97EDN7DKev2N1+o1n4Gi3WVdlFxs6nYkHa9W6C4akFKVutrP
hog/1Q6io82oou66xc4CKkBWUm6rnl+w0WbiljeDbHLbB3REIxYrBU3OUZvHyyG2CFs1u643tnYE
XO33y/gvFhoCnqVkjUF0ggry51sWY8uY7VI2ezmFaEAEnkzRMkKglk/euCS/OBSuRgH0A9KUy9X5
+VBJarR1g0l13y1h8VVYs3O7ICLA7yH1/+C0qEGRK8u1pfa3Va0mYbqrXdHsmdypW8jsEpGGE55T
1dFF/B+h0c331ePH5tkvFjGORFuEEhEMx+t9o7kQ4VD1HAnBQOSHSDTviV80A75usCOmQhB0Ec9v
LB+/vJTsr1ErQZ6FH/TzpYwivQSkYTd7/MXkkNvTyBipMJHNmO0bh4Itxi97tWpSaej496C0WKxY
Px/MzUTVR4vBIyJgQO7kTLgG6ZViXHzM04gepGpNX1KT59vGGkZtx86xn4IF53lB2JLNy5VY9BiP
aILyR3Qx+I1Vmbm9j8NVwmgNm/gj6SPaZcYMpiWpPCe8uMWrhJ6TU7K2jqygLnjM4o3dCLhmPtta
7O0TJlRLUAmFASjC3PIgexO3BBYv29ylRjHJgDCs2EQHYyTFi0xplkSbmh1MfJ5iZYW+SjIVv2vz
ypiPebnOwjDxFyJAqm6cigXb6r7ts6G9sgvygS8FI67wVoLAL3f8bw1A/KjajAR34WWlX+Igjy5d
p1yjRGyrSne93eT3g4YA9KRKrToYKgOnhHzKVBsvTh6LVloCvy0cFgi3Y0T+el9V2W7OMG8FRQ3L
4iId2E4mW+nVI7GZ7ehlPk5mTDzVABfiXGgYauk7FLXp14W9FlcJKasfHezHEMnCbtouLgnE90xj
NeKNujadb8bQGe7LRKgumDXUJ3d6hZwr6Mmc7I8UsdOucScvQUAR4dMCyrYs27ZNvX2p+EQFebi2
/3TNRC/QtLb7Lo0Z6E15UVnbVsQIn9K6tg+F29/S590xx66fwtrMn3PN1e+6UkJpIRD1oGHyCqzG
u4bKuWNIt5vIjr8LHZqoIgalgJNtb4ps9DMvK/BIDSdrmMctiriPKRIfbEomSqGUaQtohC/C0sZg
wCLO36CcvSQHigFeIvfCW6oNFTNDf9TF55YwkE9Oh6dZIEnZlM7wcWkkKF9rTQwlsMRO8keQYYEk
RuvG9rBFGnqZIG4aly3pOMbZLfL4EsAJEVMOyhPmp4/TYtl7WzNukwRGEzyC8Bh6AoVdmvUUFehf
c74Sfts6y22WT8emE7iHFtQtyZJdZ3SXplGoUzZNpr/oWRNMHZaHNA4HKGDkc41W7CN3dW9CV9wB
HZgCY3Tj3bIoMpmQtfqhiSRooXS9CwE5fyB0Xb8oY8f10S1IH8mK+iq1ptxqHXgil4Y1dO/KPqoc
f7ZThtPR0hPz2CKYQO89nBDM7hK7Npgoz88FeIPnMgkPji3uk35+BjFRBqPu0ajrw+dCaqsgMCvc
49A7xNBoDQgNW3sA9hee2tBKfLlqY/QUlHSOdnojUm/xY/YNd4nShpsmUu5d2098F632optDHIQT
VIxZK1/aZmSSb3XJIWkLCDKFO3wVbYdxNBkXOlzZkHSoP3o4rIDUNlSaCnZFlXjdQ1a58bIxeXie
CsT6k+807CP4mLJIpFE/vkc0l101I09ZOpOpgzfqqPfRDE+kq5BNL+6Z/1IFEy9EEOI7ntsLdx6j
sX0/xwzHm81shmLM/AVk0XvNsHZ6GrnRRoO/UO8dzaw+Tw7k5YOV5WbvF65yhg1KB8e90BjZE3jn
uABC83mwtRPtWb2lSduAz1BcKcxwJdpBtxgeYrr6N2aeEtpalFlyHFNG0zbcmisI1u6uSvCjbchP
m05x0uqfpB5ST9LfrQNn0fNzzUf2c9e6kSSYPkLBNtqJhX6/lfdiyMKvHs39npAwiRe/hoLoL7ML
+Xpwi6+qVuTFzUVrfAAkony2aPa1hyT1PWST0QfkMe87KpYHl3yz90PL75kxTANqAZe6VOynk6kU
Ryhc7RNduFWIj7NnRT/xJMSW1zzH8Ik+N7XIdtmkNc9OA1g8xcWTH4mLhDIMveDJrgCdoJcfR1+G
dtH5PdKWHBWCZiOgEyQZSiCwKQXXEaAHyGpayAG7UvRPGfumAjQ3c+FNl0TDYxOOK0IGm5678aI1
Gx17ZeNBSfYs0v7ifH0GtfEECje+B2mZbypH9UCQuJzaI+ARTtFZCXnnyIR8nqIjexzMqR8vozCM
rhOXiMJKr5fLqnPdCxELfqtVJ3uhJ/J+6Ex7WWfyzUnWcXyNDKP+QOsOwO9QARRXvKpBWaHmWfop
243VJIo9BrDoGnnR4GxrG4wtL1HDS8XdpQnfnDLgmdd4retPaojUrViU8dAmXO8kzYgKBL6xd2Mu
qqbEfNZ4NG8xaNWf7HWHuS2RSAx+1qTJniubHOyJwDapAZgzlGhOtZF6F8vQ1p+6uVbPANFB8zpO
87kyIjwdSx9zWYFmhKeIbsS+97r2ize29rVYGm0kBNGLridAnTX1LnnHX2DwCLwItTlaqM+s0Qjn
C4PPcu2PXkrUYew2DTr6mMRtt+8B/ZINiUHUmO3rxK7CdzV27ytp99UHiVvMJ1FziVGTLCHBFS5F
5DdYcNS5zWlWeuhHAI/Oa2zUgVD06Z2rpayLUZgcLOR/fq1r0XWPZ2HBJG1TgZf4hK6F1eRHla0E
nc6jieOTQR2esOjyL3wjJUfRmHd+utRVv0EIV9PGKhF5zDSt0f22X5xI2NswnPOjobr1Ke/jumfm
Ytr3SREPj6LqiJcZK/5ItIDZndup+qOFPPNe8xZQ9HU5xtezLAjjQHOrnvNmmW5c2faPej1ld8l6
u6H1uhf2yvRvxMCBMm3ekSSy0no08i9Ey1Vz03i+0SNt/qovVbLXJog3eG3c8A5Ejzg2elxeSGvk
N1ZLdkfJPr1D4w68eQRFdFoULXEiK4AgOzVtvm3YE768od+CKIKQtbHcSq2C1yTSpcD5q8nwTsRs
uTag5Zv5WAzwATh3nqQFQy1LLwz7wWfNiq/zLK2MbWEs1Y1mpTRxhznnXuuti/EfsL9bbr22+1ph
SQLeqBfptinG5isxt8bjtwiCYWyNFzmk8ON49ZpbVovlawVanHQfs5yzrUrt/sWEYmBzz3AtaXXN
ZZF8ydu9PiJA28ACJRLWzLU7r9NZzRw5vEy129x2IQzqvjHrq26Y6/cT0UK3RudG1ygkyapYkzsS
vIBH1rEVgeLyfpcEez81OHb0W6W5LWt8la2JnlCevlJRO5fsicNd3YfQI9ASOPRNOwuSQ2i5H5bW
7a7Coo72Q460UkiCQxo+mxeWEhnJ1U6U3EjR1jt4ie07VSMBV0v8tYsq/lFb17UfDrX1yfYieydq
GEu1gB2FuB3N9GDJvUFkw4aJpvCzTvEeAmGb74xCTTcUISNOzjR8NCF8Ey9Z3cO1vSRKECaFrifs
ZZTyRxBwVw39H72Ph1Na1IrDwtPQR/zH8MFYNyziJybcmJeT1OprOO/hvQzN6uhNCQ7OLkFraZQM
GxuMc0c76U7DPOdgxPvhUo9GdVGSM3GK4nLeUOpTAnqM/2ihfvRI7D5mTjndZdVgfRnIG28S3WBJ
gya6WG0TlNKoAWaI8zSl4ol6W4fZOFWfvHGdM1WExNNZPjboZZmWxRSkQ1rNT+40Rnd6GY87Z6oP
ZCo0vjcSbLdJmurgjstH+n/F+6zAXsU3h4sENyBioWeHs3XmWcTbNMvaY6bp1mYINfAchah3bd8z
+DL62qdCHW/wWet7K03b+77RJEudF931LQfp7dC56UEKbWhMkxNAQPlHMGHyEVBcfkgAtaPTK/a0
S2PqQEq5TbFamapkjC8Tl8ZNZZjHEOPcp1gPx93garDCoUb4bgLXYBx4GduafIkxo1UYzbM8U1yI
p1TY+9Keqh2vEwtwlbI7jSSeKQ9t39ch680ngj2MK6/wFlQLhXioMV1sJ2rYnc3adS7CNn80bMe5
Rezd7uyhnZBvURduVKegpE5T/bIwajK3ddQlV03KY0ByZZRg9SsRR9c1ScuiAM8xIe0EbAeVD1v8
tnckBT22/48p+binaCwPHZG16cYWGnY6QpEX3Xz6f+ydyXLcTJZ0nwhlQGDeZiJHJqfkzA1MFEXM
cyACwNP3gar+v6utF229701t6hNFkQnEDb/uxyUQuz2P4h7YEGZMdmwMZP54Vzlu/ALGiTHDUVQK
+iZJiEBm18Dsl6io7OBmoHpsG5vpLnUpdyjs3r0nJtA021SHmPLrcjnNc6NuPfApNTMandFwtmva
I6cceJ0NrAXy20oD62uupaWR8xixQ1O3YSzz90o43oEip5ojZy0FwASHpDFmxvQQxnZ3mRGzudX5
KqNZoqdCOSQVfXV9Mo65Px1jbHUqGIpbGNTNzVDDQRychv4KFjybWg8SfDWGRm/Ij9ZkhO8hO1Pu
Ob964O9g/txl27XeiqWoqYdSSlrvgNV6Ytj+l7V4f+K+6T6ZWMvPcgCdmdPR8OKXMAhtNSY76Y/V
4+wxsZRzb7H0DuWyTSagkIxD0xGWm8rOht1oJ1K+OfhHv7AszhjHa+4NnWBrrGe/uUe+aYDeBHnS
sAYoeQk1lpt/VuBuHkUXVI/0cRbY44n3HPJUy+9yEOZXPeTpdxebeDQFUIz7DhfA2YXa8TQ75Cnf
eyYefm8ZlxxIC5S8KMOji6oNOFFCSpQ4LdHOltIi3p0gSJ6aOBPPzMfcTIsqdc5JgUO7KuD7DuOA
iDDMY/VTOGvyaFhk/GkOufVFaoqTvnHgxw3dFH+KoucS7sSZEW7bJR6+aTrAri4WFRJyLNz6qewm
XgxDOulm7ydSNXsn1CgaoMb5eKRiZMAhCtI8pd4IQ5CcSvzpWi5/JmxprMEuHBZu5IAbIZlhU+QR
qYHvEioadqmoxqXlc4nBLEu80amHm2xxyeAMZq2sdKtbnSV7hle+8mIAVjk5GvkxSp1wNg7GvI4A
JKr4J3GZCi95ajp15PV0iG9JZfFbMhaOum05jfGn6hXQl2SkgWoDyrD6EePI3zp29kwY07HDz3/+
MF1lJIBzWE9m24Wse7X1rYU6W+4TzYHWw4TmLUisUHZWUQBSZ/3k4h+rD2WWI/fgLMi4YBZTcWwt
VKB70bmTtZfu4t7MvWyeXI2jgl8h+9atXoNBPMcuekhPk0Z+M+BiUAeSCH56GyqpfhQxBR4lAa/2
1jOs9LmYlaCKHb5kZYX+Y+GHXbxtyRY8g0ob5uOEDB/fOyP/6KNQJt8jUznfdVZDfULOmmqD/V/j
llt+Jzy7aP/pHKHL8FNUhuS/X2oxfGfcXshsaCbieVDDnwx0aXkIxx6k4RiSHQU0mIlpW2JjZt7l
17kca/S/s4YRTQd7I5no3NRp8xOwGESUnt0K9ncaM3oedYcLN4cw59e2Gs242NTBiK1KLNCs71Nl
m3C2GSEhIQi5KfEGvlg5jIKubMwzO+n+qKvRfqySYLrgZcpelyXVL1o46p9rsP+jffwPtA9L4O/7
N2n4v9UNHv405E9Rj/9paV1LSv/1Z/7Tg7pG+eGd/cVy/Jf0qfsPCkiRJujA++tXRBv/f7gBtF/S
CTKl89T8B4YH2Gow7H0cAf+rUtKAcof/outy5SGvyhczkZBRr71VZP43h0MoGtCeTVAe7SD5gA00
beTAe4gl4XtteE89FcD1qvsElfXOSGPtR3/eD0hDhMCCHVO9ONkadNOwKkg12ONTuKpKNL6QiViV
JqnC/meOcUECxuJWvCpSxqpNsVI2r8ZfvWpVruwSXa0NsmwfG/W0GxP/CrwgeNBLRiJeVje1zjRf
bVyvjF1Hpk7Ql72qZYha205V9/MgXHwDKGo50lq/amzuELtR42ufkIgen0UWUsywqnLpqs85CHV6
VewGmbx5TpVtxKrm+auuJ1eFL1+1PnNV/SxvQGxZlUBG+Z2DNDgiEY6rVggtDJET+ZCYR44jStGd
t2qL9GIlN8WqN9qr8tiWHSPCqkb2qy6pV4VSO6gk4AC+5apeOquOma2KJkPNL8EEucp0Z04KGJwZ
QmW+KqGLrJMdv9WNXlXSCrlUIpuistzHq446Gt10bG00uclvrGu46q1yVV7x5eyrUD/CI6iuBa4X
8lwB2cKcjXbBxa687Vs70TsRKN4ydVe8j9wYH1nUOyd7MOTWtmvG4DZR/VNHwPOJUjP3xilmzjSj
cntyeV7HW6fN7vqm1O9xyOsSo2r4OlV2QQYBEBeVSKheqQoBjuqCOw5+gUdfa95zpc0gUQrlHqUd
tB9+lnNC5b4qX+uidm/cEqXfFCXI1vrviW+VCOSJ2fYXxKIgwpxv8cMLge5x30Q/GERbA5CIY+gX
UF/OUMCZUrug9gmpgGwmV9DAfTdR9m5mFh57of380xfMFxEsunrHzih+/QuBDuy42k1V1jxZRWPd
2d7U3DjrCcC4m3+2bcyJAC6RIysrFmtf5ca0kwiND7OrsrsRNG29GRMibENG69ACYO8IuZrtuov9
M+q7APA95KvXGZnrqx/p2jQATpOFGSQ/1b7hv0lpW+IHaGwRpiGEhlgUntGKMPlJviSeiXmMzDqZ
H0TCR9MlBFoc3UHxj+/mZL6StOB7XCNUV/zjTJiN6xVbe+b3AOmPLwijIu12VKvUgGurOZpk1X6k
PH+HjMz7aoHkxhtPGWgeP5Xla2vV2R0pFA5EIKOklu32jztxn4zHpr3/+53luHODvRotvnwphP+Y
LCkSAT3h3pbeouDRmVZpzJDVD/FhQuXkdJ+H3NHbxoP6SeSHf/jfiyo7XPnik7f7gRSai5OreIlE
2HTnnRkO2AW1k3/+/aTBIeFvW7C7Qf+aua9kkw6pbgmbe91SRbFhOEPjRGB5ZVwTb7pe9xiycvxH
yuidU1PE09Vipov6nluJSEbfObZk0ffj6NRno1o9ESImN1SSG/oGbpjdARj07gPLm+EjWuIam3lw
1Z1B6x+fSBiNoRt/hgKdTLtVirwUT3whFfA3+jPY7jKhJ7hZcD3C/WqeuoTbWAPlYvf3t1XpqnnK
khmy8lDEtBtbuDC3Tc5PbvYd92J1A0xBj7I/hbjOlx81i22/pJduWfgfdkAfAZLfVnRNRtJouRvq
9E5188NoDM+qY1ZXLi2vgIiTyqP7L7gVcuRenzykivq1UtJomPc/rg5vQpsbiWQiroV/JXzP7SE9
kK56TfoB9iFZyYuHwI94DJ2JGJxo52YbiLq5Ss6xcSNWX7WVWd6V6edlsHLrziMkExVWkJA6be2t
5eN+zKr5LptCILAE9uLmbNd+/GBJY7q3JgGbllLKfKMDLz14TZFvgpCUPWUliCrslY9KwTuRAQTE
yIAVXCfTFhDzn65WzU2XZu1NvozDrhaVdcJm+7u35LEO3EeOSVLYarSZSxOq7xLxDqvwN9nRirkP
KDuVX7TvzjVG4IpsMRdnrpHAj9W29bzmaQTOtQWls3xXymVcY/+2+g72rZwo8Bvbc+gXCAEy3bru
wi8486z91FEml0MFINNhvXgzQztD66mY5uoE+Nk+al7CkRmM7W6qCcSTcuM6urR7mIMfnTmyMawb
80KNiX+m7XrdXnhEiFX8YVpVtzUI5o/W/GPP7bXNAv9PJtDAgDibnz6iXWQVxTPZrPzXPBv2jmcd
frXdAeMeaxYQCN1n+PPO2kS58D6wVXlM8sVmeA1MZ7ugLoXxU1cN3+ks451ZB/Mdy1RNiANEqNzW
Upik/JceGJYS9aWxPFiKunjkY9XvTC+2HuxldnaQzuuGWdfIj0VNex6APiJ/lmj/DK4odkslTnPV
FNAc218jgKOoC4Ywyi31bsYLoKOG0z7kLoERdPxNNOOjS+2DOXfxi7ZavPU2AW8XfXMLssy47R33
Jcb9vPV4DLlZ1ck7APlhWw92JLErXDS4sR1DQvANIVBdfe5YLwAQ1xkCEhQbRW8+axlrFEkB0RIn
S/6S+0QwncGp/gwwev6gl5XnkFTepk6GmPWsgSThOXpPWu+skwo0OO19d36cN4/ASbAZpR2Tlb06
Q9o+uGtVqz9rcy4/NdjwO0+SFXGZsDY9EMCo5CniTS4z1OO0drttzL4t3HhTnlwUqxLrPIjYmjYw
Tb07EXbjPki6yuSRSF6lNxn3ntWTabYRTPkl0tBI8bqxU0U+XvBaOXxi6jjZNJ3bUjSzaI7BaWzu
GsDdZ4c9P8gGd20D6OLXEK/mFX0py3fL0NU1Qnlt3MkkcE9MCsXBMptul030OAAQamCl9tNPXQlx
T6Bevug+00e6Rro3r5OsZXkXRlwLudv6eogMp80gly+nomIKQ0U2zmbDC6y1RHds8KltW+K47Hrm
mL2XFfBtldggnPLLH8pgM/Sxvi88w7ylBa/fl3bTHzqBvWvUVEEyM9xObOUxsB4SkXAPDpaPvO+b
NsprxQJbdz3UpsLaZOlQ7ivHJCnYF84BEu/tlKXzga4/joERqBJhfvWwUES4KRTkiIbk/v2s2fZD
oNXsKwvjw5bhnVW3wx/tU3zWebPch62X7McybjeG3cHvpm8iojqMRxxT/brDuHKCNvc1FZ7kGcnT
DqZ2X+12OsCNTKLBXp5mz/bvpmylZQak6XFIHjyumNvS6neNapI/3TQTyeXIo1Ww3KksH+lxnKZz
pqwBksEQn3QXX7Kkuzqx60bUIuUnmBzTTZzjXmW1YaSFtUPWvYYFb1frxh8NL1tzPmlptYei0nny
aHt5B7FpHHTCSk87AFJCw0g4EpLO5LYbmsmMUAD7ZTpNzL/LxWVUoSwnqQp3Nw859M2AvlNW+MWU
lxvO7bGJoLXgfhoSlc6kLAM2ERvPjhtx5DR84y79uCKD91UdrpLPqJ9immx21ryQjs/dBuSZ69wi
LLx3ZJN3S+tds7ChCHyRgL3YWkZl6Ob3nd+6X3S3zttc1MsXPaTyVle+sc8s9adPgHRoV8CAUcqO
YAI5Z2fi9sPVfXhA6BEXBJfumjCq7ESM5Dob/idRt3jTVWP+S0tQsRm7NsA9cXyujMyjPNk0t0UH
tVipbILFHqQclW1JnsPJDmYQPoeGhNdQODeLzaCNLPDtC3LTTlf1d55VbGkg/Z2WYkCTz8LznCxe
vcutdehPkFC+IC/Lb6K0+UXrGugNcemjTb3eqc/DJ5NQzdrBqRaDXbksTgslo9RUwjq4OGzfH8HJ
L28lHIHbIa1+cwFNqAsR3YiIIVeNpo6bKKvT311VceobXfXtKzrJqDSRkn6JTO17y+w/GF+8nWDz
cKWwCiwvpBE7y917O18SinvhfJ1NJ+wifwZ7Mo21fvVGPd50rV1fllIBNO5mWd4XdUeAeAns9AtD
CGTWOM+mPZh/jgIz7Nk4cTVsmAPKMPgOEpMXh0pc68quIXiTeLk/FruqvxaAjzD7Y9sxeOWDYd2O
pq6f63Wd766L/Xhd8Q+8GKkTWU7Zuv5vVyNAs1oCstUcYK02Ae+vY8CtoVr3ea4bZM6Gj1DCUJL/
dRdQISufEe1W0wG8uL8eBKbn1ZIw/dOgAPkHjks3qJ90NTD4q5WhX00NE+6GYrU5DKvhAVX9UvQj
vJIEM4RXmeohWQ0SgMxRslfTxLLaJ9zVSNGvlop8NVfwjb1w8YsjP0ybPfXSwan868b4K2X8n+rz
P6g+NnIlusj/NwT+N9Xn+c/0a/h3zedff+Jfmk9o/8OlTI+YxBovIm2AhPQvwqRlemvwWGDutrAk
k8D9T80Hzn5IEPdvDm3limE6/JcGJFzok6zrUJLWvk2gkP+b3LHl2Kt779/cfej1LnJ66HNnN9E0
xaoS/ZsKZErD4JxoTA4F0b8pAzv+UM6/A7Aqd3C0ul1qgKqYmMSuvg5uh6FV76xeuyfoXE+d2Q/n
EWA712t/ucUoSF4vtr34oNbWvJFCq1+j74O7R3vujk4QU4blupDDH2rfne1Hx+GFX23oCLf8E/AR
CnGoCDYbLHmgOEDaFEtDn0kh2/YWQoLpk3PD7DKBVEIMxlxJqDZ3cEElJmvXVvd991IGNVmIDa1s
pXVOw8kTG3zmodz5qOHDHiSSaAEfcl2GlIwNkeMK+Msc7rIqX6yz38wCsEcy0AKwNFYDyd6Jp+AQ
CH92T2PWuLzriznz8+d4Nthibiy/UF2UcnD/yus4+E5gXPjRIgYaYHYreVZ5W9bCmfk0LX3eRpJv
YTgUUyNuAtNeOJSpj+f0tRhrtfRxQCozz9VuafI5iHjfHCvWvR9TnUEzKmtbHtEZAuxXgfuBdQhi
uJ2kuKOypwSbCL+sMb/tuH0dc6Ff8yazD7nU+QYGU3IsdIIlqquS9A2KBZUsM1UBfjDd4qKkgmkc
34ak4mVZDg82RAM2PCrkPZp4v+UUr24vDXWIKUxgmSkm+5RMxSv5ZzxCoZWfscl+JRlFYXZcjE8Q
fGEFLwbbTH6khk1wyvVbumz81N9zPTyQk72qJXv1SvHTlJm8WSh539AGcreknc/dQH4AYThXqqmP
hcyQFTM7An3KiDC33k3bmta+75aHNKmaTSGKVywd6zxlNMAc1B8vq73bylviBx02HqPUBKEFW8lm
wPlZzGNxcJTzl450L3Ig/kop5nqLkmhHq/SCMNbfBpIeblxv5slvECjrCUvBaCQpmxAKHLJRsJsA
c/8VpN10nvp53rWda1wToucbSH5/YsaXe9eQT1zTuBCyxziYLXIjjTLZESCrx6rQZD/czPAuanfc
S1jMJ/Kp6b7vRbhPKtchEGCEB+XpP41bVCeZwi6NeXdsqJNed5tT9tXY3BWUSx1LkuAoozl7iJoG
DNxQy5VrxAqaSBgtMcZAX4yYni2XJGhfFq9GGTMR1HpT4c7euNJ4c3GVbmymsnPaueHWaJ3sxx7d
/nNc/G1uobEibdKQoTr0StrZigsrmvHG8yRP/NgHXUQszfgBHVKzICdj52KhCjBH97niVJyryTiK
whyvs6W0/1Q6RftARKWqcUT02V2Lq37PVYfR3o/9YWuVY/48QCvcStOCSZaRIjrXxIWBudtYfSI+
WMWyibX8PZadvTVjpR5yTB5MW3wsUIQoEAimaf7GZWaauwTa3nmUWX0UUs86PFADx1RmcIVeM7WW
W2yaQcsfq+s0gWkdtwT/xjH9mfMh5FnT4epfNLtW3wncyh+Dy6dFrIVMy95SkK7SOqwOOmOgSTsD
Shs6O0Qc6Pxz7h38lLBSTq82tjOuXy57WG64lBWbbWfvGJywlOJQYsxY3ifLCV9BdE1gdo1fPFJv
OM5I7bLv3lWdPDOLOXcsgYqoL2mLQtH6joegjzLR4izu87LZQEjJbol64sitxsWOFquyHroqfulK
uknwCNrhpaXg/myFck9aTl0U1Loryz/jicSwT1GDm0VJEXJnrELgvSNGjWajJyF2cVNPVMLN5q1H
nQeJATlAvpeS237a7Pg69b4xTO5M61NbQBh7rBZFfxnrv51B5xRFYOqhTB3Kj+bhqC0zpRZIYujq
VuTsHHv1o7bnj3ps3KOjqvB3L4ZHf1rb1YYCtpAdyHdvzivKt0xAfrY6UT8QRMVI7m8jrVb+xHQG
7HJDGjcIiSlEx9Faob/hrm0A2UATT/Yxu8HNgISR6aC4Xwxyk3NGX2Q9j7DJ60kAm6TMUCG07iTu
8UMaOtPGxHa5DfOcS5pFwmN1v+JQvQ1H3loL9ZsIE2gGJg3rJyoNXEBztLUklr6OAZyeImiKXeNQ
48K/LTx208TmtgtPvalWewfwYXCj1e+5BdVoGrbcjhY8PGw3XUT/JU4EsPDDc5jlYQQsaY46pwyj
QXan0Ai5UxrtD1yGlyrzm90S6nFvDtyp9cxQbjhry1U9paia1XQ2iu5bFcttCcDpxpqIei0aYaEU
fn0vHMe8gHlqdigS+V5n0jwtZEGPBnljrhN1sVF1nW2DhNU+9RCsRArucYJV9r3beZ/LsqpA7LF2
aSE/RVMUNy7JScRZyH+xredNO+fWhc/AAH8KU40uip/RK8P91C6fSctXxcHCu4ymjPgW5GbM/ZiM
Awd/8lW1lt6apewf4kLEWwznw512AsXhLtoNfQ4fOBB+2rD748is3MPmmDB2O29VT8S7KobutQz4
Ugv7GPxqk/zpR0dAA82LCJccguKg0wc2wvkjW7J21eSWiyJZu9d+QUNnTIei4uniLaXegrnhwJD2
U5Z53PASbu75FPBe97LyS6CGbSsxN6fRqTwuqD6gKbD5ewTZ6iIsAQB1XhAQ7flrSCGMKeJyGx3y
Pei0oPA57ILXwRQL5nPacThNUbs35Gvxd+mi5dvnRpd/8NgX8hYqd/DM7Wl1sJrzE87sk4fJa2uU
YfI4DqV+cGWcf0CTfnJxM9Fcmtw5ohmO9hgk8CfTvN2xNuMHzY7MeQndAli+S3vMTBmQs8QeKd3B
B+E5Kj1HS4cylXkqtLZJI77deqrdaOb3jPxrNffKWuQRSB6mkckNPnUxmB+jOf3O21jeL6YNq1ap
VB3zVtr3buWpnUVpKn5Cs4VY4KYo0kKFFAjBap1as7p2QeheNXZgc8tb02DEEDTEus5Q/gw9Zd3r
g5rwO/VNen9mqHOHtrVcHhmIqc2xH8KFUj6QPhEFHk8kkrHxSvMCgyR/H9h0fNUJhkydxjQCNTAm
KG38LqGbPdVeJn5bSW5U24XdbEFGb5xOrW4Q9rMizceIDszpt1kGZYQndHhadN+dYl6eZLcMHAK1
98B9nQunL/1IcRxMR8tYcj7OnvK/48Sn01MM/n0o3ezNbXuHSt/MjfpKlzuM2u22bdqlZFtEG2cj
7eba2w7Mqpkfxd1UCMQEMwZc68t2BBbXszCN1DTM93WQUR1p9bBJfS33hL/EruX7OsjeMw65m8fV
ofPL7I23WfHGETe+l3oyn4pcxkcz97OT6Wom3rjzzqjolEtlRE0gr3kapofI8vlGGfiywyXtz6FB
aeomxVxJIVwZnkXXq21aTbiKJmfF1qvEpBxh6B8lpKE3EwDft9tqdQyGJryhvVfeO0navzS22xc8
f00uI2wlWLhc1rVMV8tr2MuKi7/rDvo5sXjDoqg7YxgtYWuv+N12VjtgerK4AfNM5WkQl96Lhl/u
vSeFgYKqgomTNSCrw4PYT3Iz996U7JzC8e48u0g/qL30DIaV8QmKBiaYIa2N27Kesg+w9/Ue0y0U
ZlJB5WkcQbbnOJ6CjeMUBsLjqlCZ8QTBlf/0yMpqOvdV+MSyqGYI68avuiL7DhoXjoBckpu+ZiQt
a9XJjaxU9QzfM93Ypi8OOqiKS94M3X6uZBo1CdGa1ljKYYNv291rq9aPpeNiznQJ0m0QG4qdyq3x
UtXUTDsir4+jPyUPorXj+Rr4ed/cT0k6uVGYTGbH+g+8j2BYqNo0ZL+0GUdBouabcTNDBCeU0Gnn
qflXHwe9RIHfD8c8TCs2z3/bO4CfoKpgn9oBeq972MYp79EpKHE+EWg6ytRz30SQVWNEeUjrH/uC
Z/Er9IKYYuw8Ti4ZShjpidnsc+SqhPWwGFW7LQyfru1U9s1FSaM9jiAHr1MnuQtYnbGmW0iUytk4
d7pvTzgU8miUdnZpczfbxmL0f6oeqcysV122z1CKDxjan4cijLMP6ApY5tj+3UqeR4Cwy+KCcwiC
P03QJkdvrFbknGRV2WW9/7rkLOwzj7fzLiSPvR/EsPwyGawBwrcrArG8a/zWPJB4Hc+L6ORj22bt
e4pl/4pe6J6XFteCwBsauakFUdNK2QAkqz2tMWOmA2pYD1NBDVWP6e3OQeyLVgIE+zFV7eQ0hdul
tvIdad11OO9mSKfEtcbSPxltraKGi/uVDHW47wtT/HIpPjpWRd9u4oI3U9m0AXjXJj1kCWzevnGx
FGeVx693SPVXGRoK/JZzb09p+E0d3j0uK2vTSxP/phDzsbOwxRbjmFwIrAXTBluL3vG56fZtOLm7
bi643/ChBOCaZ2AXqV3YhSXHeDwZxSes3ZUw5FdHIyNgDUuHkmkNRXQTlHKgCMaYyffb9r6JARPU
oW/cS5ZC11anR4IP5e1UYDl36XsjVgSVgdxKmv5pW8+5jeMs40XbJUf4szy7wxqfa/PtXKbldump
xuwLqTh09PyYSjO8U1NS7PI6844FkijkHhL75tA058y0HgLiNZthQA3ejliOKSDOo7rBlMdg1wV3
Bdb17VSZxc4qYwdzSWh/JCz88aEMmLOqLK0+jHb46GwfcK4KDg7WNnPTtOobH/JwpP0cd2lFSMLi
4knG10UKnOqk3M4sYqA1J17kLeUvECApSn1DmKGe3rGu3RCLieal+67z8h2xfP28jWazo0a5aDaT
be884FlQqsP4nGcD3fXDRKlnYmKhw75nbjHSoA73eCNX/0F3aby85tMCtoRuDn8reie7lElSsIsb
TDMaHdb8O9Wa6m6QzNu5qVi4rfLPRM/GKexIbBMMWNgEBuYfXXNFy2WujjTkjGB9OvGYS4pHipag
UTrJM8bwfGMGhX9G1yLoNbenoPU6DmCjOAu/Uo9LkSb7JOu+uK8xis11NkfOklenemwVVh0I129K
rrEApW9t6nFfGaWeM+CnW7+X/k1KdmGLFZPBEXZ0rJduwP5h9FGtxs/Q6m41/cebNBevmJnYOyjq
w1qPDZiGXPVG71i1sWmhoN8wUFs2Ou7z0mCqdJdC3NRzesmM+kO29MbOQ/rUe/Q28ibd65npqE7o
pk4b8QGijJiSqp3vwcXZaSY9zXJG9Trh+v9p28pY9kkNpYkFNW4iY2pHSvY86LOzRNhuktyKSCnj
xATlSluxUj0CxayvnUU2YlMGcYzsJLUGD+vMCL4Vu2t8Q+6BDoDwCvHPBeZluw12GYVxaBP0qYRY
zDPgmUV/FjWj5JIlE1edOOJX1fq3VPfi0iDJS+d4YSBnL0UGpl4sZb1TQWkNu9FMW+oyvADkbMv/
VdTBj0jE1ckbXh5Blp5DjJnn2eVwtWz9Oy7asTsU1NzuJo/VtA8PN3LL6YzTtOBRt157jiTWUysk
RKxaYFsn2zmEDORbHnAqVzLlrR2PZKMcrC+CV4I39UofCVYffdV9gsU/U5NpbsusNU9FYtzG4cCs
U7rdLu98YkpKkgumhoQa7xKcGPJfF5psdxn1CbZNYss++9In6jHMh28ThHGEUQZuzVQ/dk5Lcrea
/RP9HSziDZkeuLsgIBJsucdB+ZZZznCDq5aUEpvYbVLSrpKaLeviprKOVLgYUe+Ow4kKKxPlgqWm
WbjfrY7Dx9GgeJkCcRCjzfxZJGzghKStAO5qtsml/RW7ynrSAaE1b5p1v83HRv9xyZA88e4TG8+j
TIuCAnrNO8QoWi+3Vmw4t2UfGOgsWSYg/xQFbPiacHJJ2eJiQ1gQmQ7HnZ9Y7KJzMy3OHeejhRdt
X2Rz+2uw8BG4RFeqqDCW5Xch0nhaYcrGr8ar+nvfLI1jzoFHA4qPST2AX3+holRsQU3laQRk+twT
itgRJpm/mLN4tJK2+kXEP7iHLhXTZZdS85J5P0lvzS1RZ2M4Y9YKH5fJibdu5pMfajNTvwSTOz4I
kTrLXT8FDTsnv2oOqKDU+ITSbgEE0edsser16ZPPpqgVGbk1grPtPmsFkQKAUHdW1rtq63IYHLNY
Pc+J+8KE4D5BN6GPkL3Skedg3hFUt7hcBa+YSHjDp7V4SkxcI0Nq4+MZ4l8VXuBtDokbQ4qgC6bk
km7caMFQcynZ5G46qdIbZgg57ROvb9gJZd54dmrePxtQdm1+SGI9rSIRvUcaLYyZpvIs7JF0lnFq
NDSgEWbvX/vW6W66LqA0Om1AJmxGE41vbvN4O/Ne+KAlMrTvdOaaz5SFWnTWd+NCY4TEiAOvBdEI
gXrtnJmHW3ts2eHz6enYcGswnl2dXRayQT0LT5sOwX5MmJhmEgWWkCusWq6TEG+Zj6rw2F72KaHV
YszlkdUkjmRj6hhaAyeoN8nazkFvyfTkjq1EfDKL1ttwDcN4J4zwlaUkzUuYq5KIZF0yRWhq8xUs
94TLjAdtt7COxv89cPGeBEc0I2hFRsZufzTj9Y4VweNMsmuzDJ55bgtPRm47QrDKyF1NiRJvec4E
HgG4x4/TuxY2/YYS07JTJIZxTjPx9knzUC6GejOcbDzbNO2Om2rB0NQTjH4rWsO8Mys9H0RLlzyX
18F+JLPuX0Mj5vrSU+pELjIVX3OZFWdysuqJNSZi6CRGnlJcskCEKzeoBTMjJU3gzgmw+NrhxMJ0
lQ8buw+T/A6Ff623Bdxf3uSWmN299Fje9xQB0SbZJ3k0FcMDy1CHDqy5FTsbGeoZiGByzh1elXVJ
2K6k1/EjtgYGtcWTlFshMN2lYUhyKMmz7m302HPr1TWbNA6HGR+piMtOtjOTIT+0hgbrhzR608eT
f1LalDuav4sLrj28PQUpv0tDw90LRHM2zt6UVVFqaAeEw3+wd17bdSNnt32hgx4IBRTqXO6cmDYl
UuQNBkVKyEAhh6c/E7I8frXs49/ta1/Y3aMlEjsgVK1vrblEwO2kZRqcVvrWnQb/kEdWuG36We+H
BuMP1UpLtLke2hs/y50vqLc0ypSD/mSyvrsQNBl2XcvqHzlTotIY0XXCW7T2FeX0I7MMAIlNftO1
6t3oLYtqkTw4eJHbwoOZLbz9XBpOYkcwlclyRJZ/X4zeeIQx1Z88Q0JQ94JsI+DAc9IouUZvrk+E
8Lobo5bpBVrG18IfrW1P4fku8ac3DAi0e8Jko4E2QVa06DPYVPX0ZIBz3kmqmrfapknU4ETfR71u
1n092ce0Iby8LtNishHaSKk7I2NgCytk65asZc25fokzjHVsFeYDoR/yo9SEdPe+LNGBLZVlmwID
QXYd3SimOJeHDXRtxtc0YqQX0OebwWV8g8ZqsdIoo52V+hg7y/nWTWf+uxk8NBRP3Q1tgQ7cp0+q
sb84ITdr1yi2saCkAqXkTRUUEquQgccwRFhDjMzcFNIod7aVisNAcJhQ1RWsMFsFAdJUdSaRr3C+
c6LYWWVJ9aybKrn3wu4QGPaBhVW772fRvxojYxDbMb44lCLtzJkV8lgZ8V73PKhHv3vLVVI9DF31
0JV2Rmqv9Hm0W8tGkC6uO5hxE7kdOzpWtKJeRG98AI3sbn5U+9bc/1cxYzCEHiW+ANrvsB+Ol15r
fNtZ9fzfsfW/U5gFZWchCf7/x9bHj7foT62kP3/i59jasiBfCzxogomx6XkCQt7fx9aW/MNmyM3U
mP36L7BsoYBlm8o0bXqtXAiNzLN/Dq3F0vMOpYb8putS/Wn+pV5EegX/PLM2l98AfwP6NuN5y/F/
gyKmVlB1rgy8W+I0xjEMirE6F0QzCf37ZMVlyK07Tx080qbyssc51q76Ctz4WwSq7ZF7reOuIeR/
8jxrfE6lEZ9dR6IHZbaPuq4Lz19UrUah17Arba+kGkPK88JhqD6bRRUwqevjzMnPqYqbPcbTJKG5
O1I4favM35GcLo55MMGtSbpqnU8WD8c8ExsLOtcOwAzDE5pbHlI698Dvm0NwyXA5XprObveT11cn
W9XDx2zRxpi3GBIV2mk2lJLRYaxf6X83KYbKPbLSzZtTJxbvl8gSjYJ2TWn6FI0HU4Pv54sybovE
CEhfS7RxjAj0dNXKDnueX7qz8p6dRcYjlPVicmdEkf3cT+PCHNcbIKgsjOLIvE4QL68t3RtIL+Zz
5sbq8+hyfxoLOgi1rZ5H5O5tb3LVO33+IBKDSX9X27d1ntfHDg/92kzimClhORxRcOIbZWRvqq24
9gE1bV3C+OcqT9U+K43+a5PKABOB6+xoK8++5Vlcb+fEt74tqOiKQXpNK7gdf0O1op9hiMcvruXT
dBDGNEtU2ke6pYj71bYpcnAlqy6Wlc95nD9XBocuKg2WKRooqGoNd4tfsUREiOXa1ZIJJOtS3LAZ
I12LsjSVP0puWN6K+ChTAM7Iz9XSrEIMlxAh8+H0wFyIJp9ISjjjZS83hYFtbG8SvZ6gG41DxwbK
Cq8itdL7aWrmu2CIzHU0sx2JHNvAeWuOLkehcZoAv9iLJIPakxtO/Dh4TXZxYQBdIjx/N7BkkQ6j
YLhnoVfvCkSL99YXWbECXs+MKGXuo2D0cEMdhLXPZTJccBbGh5Ge+EuLDopw4A3hR0TqfZ1p4tAQ
totwNXVani1M8uUqbqV5Sz6FBpmaUeSqLmyzWFeI/PSiQSDgsQTok4CgDVgjrbA40Wa7scOo39FW
BozDyJGJy9xW5x4FNGGtKhByMJjU9G2Ml7jiRcnK06dmnprPYY1JY0U5efS9JHKy9f1MHSQ5mEvt
Gh/eTJMNrZiUm1GEwYy8NhAHxxlunANSYycTUz2To2AQVcuzDsjq5D5p0Qz66dfes7IdrT3ee1oF
82ke854qpT7y9kONdw339/BFlcK5N9JAAvjzAxYv4CrYMg7TuaQ/vV3TbF6e2CkMmnIeI9pO0KXu
8QIwVqswlHkewM12dOxjQ2r0SjuUu/ezoXsC0lGCASrAfiVBauDtDuOzoUl7u7nyaZxicrjyWL4R
ms0UrWNygKVR9xMjkB7FkvbwLePI+XM/VsytBjpoIpcFN2otXwlulJvIL+p7j8omK/DrT3FqeFfl
dIe6cOa7oTMZ7Yzy5HZc1mhW9niMgxxP6uCV90zQjK01WJSS+dqfHtMm0zd509ufbLtKXtHEGKgv
JWwdtc5Hf4qj4FiYStJUWlE7itOV3jzzBrskzu9yeAhFVV+mBAGOm6d52yCMr0mnROsijx1uCpXa
hM7A6LCyPoiIebfse4oj1DL7mDedt4qtJl8TELeZqwThvgZvvQli/cmQegKUZTvtI97g6Vtuak1L
oJwOTHzFg5wqTBQs4foNxtlobcVuumcqpjdU2UCmsuf2HEfd+LnITLFjWhmuPb/3bkw2eOSRuBEp
ALObANLCi1Oa0WECroVCk0HSFQjM2Pxd74WH4HwQShnfrKQyVuMQOWtw5N33JDBQbN24vDaVZ8Fc
yFd4/8y3cM7DLdJpRmVp34Ndb4x6Tc9J9GLPYXup8+yK8tjhSmJU6NS1PsNeaO/nYlnUj/58b1qx
ukNNT6tVSx3jVrDL3OcCAzTGSn/TpD4FJjIS38IlkDDIEc8D7uaUeyZT1XSI1jU59ktkYN9nrzk8
ayhea2Hp+QqWXZGqKb0XyI9cG47H5tr1oYfE6XhToJ1xwwpBL7ixeE0zyhJ9WcW3VlAU6CGl9Tbk
oSAeNH/G9Rqs7WGyD27vaUp4jAC2SWyxOafG4pir7Dqb1pHVg7liN2R5W/p5+IILas6x8PQPg07D
ZxqAAUB29M5NXhHdJ1lDs6NRhcOTGXrVSTkIO6EfIWNzOqoD903IBkzsGmk413nu7rswBiqRATgC
Q5OuXc69T8lk5wtJacUlEe8LZcE4menTVL5xTSfFqTbUpU84gGYdUYT+IUaz2oUUZG5hF+Vr0w8u
pJHTfek1FKCR6GHkCgtj0HA5uKAYnOfAVEJahlY2vmbk0SC/hG7N7XsIhjcW+3pv9KZ3nvtGvlsy
y77WjTZu3aZmVZ+7mKLEZ3MSsNFVUOHXpfWtbo1573ey21au7D83edSdQFC8JXRzHSNE4h2FSgsc
n2hXN2ewnUYjbE4x9mPyiKG4NmFR3s8L+Qg52+3h/j7A/bBfoLQMFygEPdKDFfTPVhwbh2zu3Uuu
4+Rkx+6udBJUAxuIhSeeRraCqLZ5RkOhE6xk2GeflB/qfYfP5g6ugrUeGw3lqgq++WTb1gSPoj2x
DGQbDPOHBvr8JRJiOGs3Db/0CrORbPpyw/yy2ghac77Dw/sU5UWxttNEPqYBL6G1UiKGoIBWXuLc
9NxVtzqyXoMGt2teCihJurxkgzEBGBkvU2CJz1mVkutLHLEVlN7tweGrXTymwWvdTeNejHH9irkW
57XqaMPq7f4oh6TbMc99RRbGQGHm1i7EYZ0uZuesi96MziVsN0H6l2wWT0pNK5mG2Xlsz5JeRCIR
Zd7f4pQJF0Qx8AhTZp8TwyseWVSl56LyedS7Fj7eeKCC766k/WivZKhvgavscs/Re3806xvAR6iN
o2vso0TkOzwv4UVCpUOqT7pDiNmZgMmQePfkMMZjhKNlx5ar3lDx6RIaHV4bi3stSCqXbflgzXea
8OI6dWvrVLKr2rn+ML51fuBnq6Zi0xukjeeu0ixE0aGMVGzcch7fizTSrx5gaJNl7lseqmDDC/me
d3m1S7DXl+upMOrj1Jj+Ok9SmhfnmvJwWdGRtLJEWtzo0UbgYXIKuSqvIpwl4Qcihw3YYB54pHlk
2l21pA7T5I5177qNzWw3QAPYmYHmCToEFhOyNCSew2oz8qmsDBzD/I7plcLHKetXXYu2UXptuAXe
WK9YetRbBnEPLkg1uuSQaM9BgBugKmwi9XzVrwCTw4M9BhRKMkVoVqTn0lPddM2aqF2zqYYMfbrC
Vfalisxa7Szav8DvmQ8SBdlG1ULFsYbWeh+1zCgXH7kh9HZGaDG1d0GBRm49MkPuEvoTepSy97jL
0dLphstU/kmOODbEKXD9OD23o6/KT8OE9VNCoBgNA1NQwUp5lTBMmOkJxPHaMxRL3A0kt1QiFITF
xsCg0WK3nMZvGkLYx6B4hawR3C/8TPlqYEejqK7XR/IvIz3TjLQ3ZuPHp673q5tK87eZwJYvDlee
k071jiOC1VT47juSDftYuhpPnB6LjzowrZsyHv2jBz6GK5jN3K3svE8zLLFVRVjzg5l6E+ComPWZ
aodhS4CtvtY5pegJMjGhSJ0/mAOSGNCmCS0I/+hBZK2/3A2mDas+G+mBJYw9NDnSQ5wevHopB8xc
+2wWDQgUEw0DjZM+gixC5POm3EGB53jIjCW9Fr14bmBdjCAWNVp2YxmYec0sXZt8ctcBXOg6ztrp
ZXCDO0ZTfKwmDVyPZD/DTZ8gIq7bbjZvJh1i72mbZoM4R7sZ8p/XAb3Q/p3PU5jsNpG8Y9IsYxeq
SfPTmCfJp5Bh5UvL0pM9U9PfTsUcPubu3GAk48Nm4pnsDdWy+3LtPLo1gn6oUQvHfut1jCkQBqvH
IMjNdsNgL9l3WHcQl+plDKcYa1ZW9VRHtfXFAjv1pSjDpyCX5kXYID5IHprGwbE15LBCEWToevMs
Va4fQbA1xSYIdCFvII6IhyKq3iRzT/TsmSn/yojMee2DZowRyUMB/Anwx12aTdlzgj792U+GAC+z
spjBdJa9ZyvUfiZ3MHz0AAwZ/goAmXmoGYOGxS6pyTxsxrpgnO61LlG0CogVnXSVvaGIZPg6s+pj
xW+4zaoux+m+kn4abQqVxdeasrSVWc1Mo0F12dvGp7/OlnBgBwrpjtE8Jxcg2PExd5S8BUrDBnZk
wO+ZxtfML+fPUUhAaYX4zZsjy1huTTednlNuFchsaJvrOZHznTGVhOOg8u/bRXQrlnWSM3NeUcOI
4F2Z8PFtREDNyncdEwg6FElgwXACVs3+c1nIWm59cR0W1yC8FjTLTMyeGjy86k2c5NWXssWTcWel
SeMwifbYjFUWTwH4dg2db13kkdJaIYnMHwYRw+HeUoQaPXpm+YVYZJ7bYtTjp3kwyCuvjJYNb3vf
mY0j7W3XSVsyIHHqcTjzkdQ+PMewikhKM6UhXvh/ctE3kSAFezuHI+2vsvqUZfn49Iv8808wxtZC
X/4lB2D6JgVWLmUhrMpQd9zfkMK6Gockc6zhNjQad2MoRiuW3fON5EcD9m4Qvtq5s+8T++Sk7s4Q
9Q5XA46A4EZ38xbNdMtb3as5gSYY7//1i/sNd/y31+bZwKM9nI/q9wKc3OqREgN7uGWkcSs1a8Xg
EPe3f/0ggDAEVmRBsP33D8BN2pFNL82IsU3dD//zjGxHkeHux2H+m6T5X5I0FttZzrl/IUlmWVwA
wv01TPPzh36qkjT1kca26YJz8VigPvL7fqqSyiJnQxHF0kmibE5iBMufABVh80cY+HyKGyQvYlET
f+qSjvfHEsuBRU7aZsnS/CWiCvVZf76GaA6jIxCgCiiXBfu+xHZ+zdLEXox8YzXRaayAQhDqxZbn
ks0+60oi9UwYukEOk8ljyALpcWGso431vksUGNtFdaiZiQRrv8zo5Z2loHSSkvBh1VJv+UDQPBd7
K5GT8ZCqpH6u4HC5a+h/Ie4XvG7ENOymZ6Wc+/h/AnYrq44qXDIyYOYvKvGYvTdDPZOzmdslnVCq
LbsJp9728GWjNaMkYL1NoAkeMl3+qpJJvv/gC7TMcLYhps1iFenFwDP5Ll3yFkKTfVE2JrVG5d7N
IBiS5H13bSCz7mRDmcSKhZzp8GC34kedJNPDGJntbR3a+XWBZRRbOZYGQD1/DF3iDyZ+Oi/R18zV
oCXCoUIRKadDOHg4CnUdn7nt7sm+4pOIyrjcuQVICbuJMAu3mBjpuHVhxIlW2s+ZYpgfO3X2aNlw
wFUkXkOAjnduOakNKT3nvrOT+tiXk9hEln0feXOzgYErt8ZEZnPURnbvSCO7dYrh6pqsad0sw8ij
Rxm9wzfUe0Gt3xoFKz1beQ7Q0Bura19zU191URzesOwUt0NUOLy2bu4u5rCtaFW9DXSdf096j4Js
6rF2jUuPD0JYc7U99e4GhC2tAMyfZ0TVymv4PyBvzwpgzapGoaRh1D31Q0m2FgLvY1I3ztUZ1Xh2
tBzu48asmOBFXxPq894whgwbHhpnpKlp40Kfw+iBjan2tEH7/Jg/ZnWao3hlza2N/3Hd8oksvdsP
dZa0twYmrHXMFfuZkGJAzt0ebycYzBs9uvbWcnmlxkgLOq718NPsL63emU9qa50UJTvtIkmI++P7
OzORNU+T2X1k/P27sBPZg+yZdm7A8airhDL94NuiRwILEuR3WOO3YrG9J5onSoqRaj8bXXE1bc5o
6XXtxU6FOE/EtzRWWEIXdnNTUvD4gg5Ia4HRttFJLI3HUIWzis1+LzZVmg57Fu7hzqjIqlCqeTIj
76bvmwqInIcnvSrpXvYTwilOkfXkWzgHN6PJhLgLYOB4c/tk8EQgXn+lM8HEVHsWPeg0EvCE+Lvk
PnLqO6PNnqypVhuViStrj2xb+Pq90VIe86R8mhzwEIzMX3NZZ3gx8IJgIrPPREigjy3f1PRhhKTD
y8UtM3fmMwZXOBaTCg6YZY2bwVdqG2BV2ySmeOFm2NzZOh93Bqr4OktD9zjBBXkSAFohj8sG4bIG
+obXzEuMk2TJhtXGxugaVNtO5jVl7GCckuY0t/EFawDhixauEYiXImALgd+Zia/IqZFL8u0waAqm
h2RcC5ZCVz9wsgftu+GRJhzMnOzKjnSQjQ/5mM37ok3h0fPA3s/p6N2IugeQ6AzHehJBukGAHB4G
0T511mQwe5xc/PtWVHCBlY0YTNAZxpJqqCz2xfdTMDj5BUTbbV77X8uqdLeeN6tPCavCHVWUeO/8
OLifHD++I6b9VgiNWlOBwZgpT/Y0FqNVVJvta1PzloE6602tM/scZgVbcNvllDbx5PW5+OE0zO4n
bruraOR+R/EsqEhZTK9zpzDwBdyf+45zMJ7G6VVNWGEAdJrVY1UT7zI98MV+kd+VcG2A2CvWpfeh
G4AcwdrYMC0RLPYytzdXzZyUR532QHXjoqW4Txfq2ibyuy7Rb0MbRN4Q+Rmigm9hlQUX7q+0V+Rl
sKYRvhvZOHcuYr+OPWNnzYSPfLwdu4kcGpd4gZw5dk9RNjWWOEx90Z7ywow6ni1G9Z4aCVmCSCQ0
M4wRm/K7tPZLcgvl6B/SDgHkMoraexh5YD86dcAlkg6ceihVvfulwW1ziuZ8albUHrpfW85+3EWU
sKHDGoEUq8HT8lrB+meTYJn1qbQpeaymwNi1KilwblbtcaIS4i7KuuwRLLMjV5h55T5KA05cNQ/R
i/ZFs+3xgh2sOIzefFb9agVBnWaocGrFJXRqbCBSaOSweSDq0Gt2uoNDiG8FmwsjA7f27xiBWZoT
e8X02zfN/TTalQmLeGLzPMNmIF4CM3pcUazUYd92qreqNuMXnsmQmyDq3UBcyO+C3lXfzTHqcANk
gXM1MMs+G2k23+amPOJiY0yVOx4ZCOXGsCOcqoPzStwuVGx03LI/0pyd0/GNK2Qz4d1ivBjwKSLU
Rf5T10/uBWkq+zASM4EZgB27WXm4hx+CSnhPPEdILDH32HWMOA3EH6kDOjCtKDzW8Ti+p+xqBDej
EDRHWvT3o2TTA7ImMu7jxGuo/XPy+gXCfXrrZDoMOYtbgQdU5TPItir9EG2V4r2FbUlIxGbfWARH
BlY5pJiIi1WXbXU3Vw5YxWYgK7WyKTzIt5OtzBtNC/aLi7foW4BJ/9UXYFgLI2GDa4QqpA6ywq1d
W0l/TykGKo7T1Ma7MKfmbqoxDK0cgMnY1aGLH6Qx6Fcs6oW/nuagO2qrdSCfxUmFdCLz5LnyY0EA
r3TaayKYvkGWdSowKTo7cs0BYOxskyL3Cb8r5sZIbR1Zmy8kfwOxLWIzHTdYVtx9l4n4GmBi3DPI
kuuCkQWwLF/A0nAiBF8X/zXSli0vOKaqkxW1mHS1MDdT3zVgWDjhZKbnNR1wYluZBKYgmLdbmjeI
B1qNfrC6pt00TMIvmdET6JewBjajTPSxkQLnQ54V9Uta45hdARporDXNTOWXdLJ1QcaMnSe08Gr+
Rs2IcxOYTJ8c2/tKOkJ9llGRv5VhU+6cCC7Rhls8CYCpT6Fc0AvCHZHBrHmMpSlv1Czka+/WGbAV
DRrKDt2ZmK4zOV/lwJy4DSznScEJIRKRO9gySGwQ1y3t8gBEkn9N5y71DwBwCRGkQdUv/i3rrVc9
FvHC1a/sztsHVwF/WSejTbpnZgG5Dc2h41wyG+yoNLd/qIq50jbAeW6ciDIHX+AlFJ8B4XjNzimi
8dw13cS+EgcW4RXsmjkVDccEZ7I5d/GXqpC34YSFJcp7QLnGFk4Pw6WpVQ+iVeZtB65iE6qcMaQL
8e4OUKyx8q1Q7ivc3prIRC++UjlqkxApdfhUiEkylssHxGXLcCxsPE1sQkEOQ5zP9rwdaPQ52kkG
lUvgTZq1k+060+wuFhNAr6vzb3iKOxyInSdplEF6XvWQtTY41+rPIa6Er54og11fmjRN8G0S7ybS
091E9pgeQ5ZZIJYCF0knxhEmKM0QyYeGalKs2HzCoDCijFuLM9yUjI2es2DMPiGQRXszdg32B0F3
qZnpoMLSs3tOiZisQ5M1Yj6EJx/DarMr6qrDeK5wB9Lvmn5pyODVK+bGTAGimATYVmvb2zIVnc+p
YenTgP3jwjvMLraI4/dgjlugg217yHXV70LlFMcqC52Nnc7PemKkvbZsq34LGdDcO1XFcMyM6+N/
d8n/nnEHEMS/3CUXH/Fb8WfKqPjxM3/fJIs/pHJBUdIqh4FHoqX83CP7/h+wZFiBOc4PcITNH/19
j2z9IV1FMk5KF5EFusT/7JHlH5I/WH7s59b6rwAnkFP+YY/sWLwKuKPctXz797L5jt1aPEejcYRh
PhLxykg/JDRnLDl4spsRzDA6UpqJvqHO6Id1GtrWxYPSfDN7gcClTIH2Fix0/yExsNzNQPVelZmA
SA8BB8BSgWG8GcuAc7iYi9fcDZwjBFT7ro4Hj+w6O7QbnDX+vE6TnOFPozIP1KH/KOHxXuux6+/M
/i0va64ZNpZPLdSylzKNe2M991kxsyHRIEGyNh8phca6yOo6hN45KpTHldNSV7wl6ZB+jbiKQ0wL
OVToicIGmDpTDOOtGrkDZNgWFxqpw70lmJnK1LZPFzBRK7aUjkooUPITZ1+ppeCChvfo4iSy97c8
sGKgm0XmOZgt0vJdN1q/lK0533bNZK47J2vOoWqGdyaBxQvpV7DGLGamM2Op6gF/cfhmRzY748Qu
VzmQMB5Qek1vlgmuxh9uZxjx92ihJVkvf6zIfuaD3GdjnN76ACEe6Gyed3pqN1NTHqUcyItRZ77u
i45OBTHtBzuW97AJFekWJ38fG8L3zpj7955rMbVok/bRmeB8xYRutmKYnEMwaysjS8REz23hZiTT
3J1h9MdwCRqrOvVzBu/ZDKk4YFRQyYtv5naxro0pe3Jy3T12ImUl1VlYsIlRWF+IHQRfSI8tIU0C
AgV528swg5rCT+lR1jmJ9TAG82UOre45SydNREDl9WUI6urMIKr/rjC/0Cg2tUa6aQg13fWiyLYa
0wfpIPL/WG4Y3tywna0t0CZd+lb9YDGBxHdxLucIvzbVLq9Yl7NsYVpXepVWTnhf+KqwDsiy8TXS
qfNsh3n8oGaXoxH9qx8tiFi7rorE2bITNglRV0YHtsIAlCYgZXbbV4cB4+01jHJ610D5vxhFWJ9w
WqtvGDZkvfNMxvQryxn8eAssV10RfuaByXlYGl+S0PHuSdwv4W0f2O5KNXP6LnSJS7yLoO6F2D03
ymXQW+VW8YnvMSXl0UT3ckyam8aaopMEfai2VjngYAoKgVtkCvMlC0kNrlOZS4lNCcet4s+tMhQ3
VS86Qudlrm8T5NSYsvCcq/zLSLgNJ3QWKiX4eEYGCcAS+9jkH2VhQRJYjaqHmYBlQo1mdilQwYqW
xafRzgDBMCIFPQ0J12kgPX2KaM08VIN3b/mkuLWQ89px2JxNolaPY8bVs23GLnsJAka7pLlYPUmS
oA2ZJbvErULSlwYHoFdTbIGaEFO1jlg03gq215cW29pe0GmwasoGXGRKOZsK+nTrO/hdaq6Xa9Dg
hVqRa8w+A0phu4pQYSb3MoYXqTZCs5l/FHMzLGEw6RUuEZvKOAxd/SRYQj8Yqb/0ui07ZIetch+C
LimX3XO+7KOzZUetu3x6QKWwj92y3y6Xnbc/NdnDUDvYj37uy4EoOyrbSs0X6bB9p7chZgoS3QK3
QQ9kh2+y1e+TE2MmfpNjVPtuUQMUsoC36AMuQkFCOrmje2dlEYvg1yxqwqIrRDhGafFDa7AW1YE0
SHMXI0SoRZGAp8ywfVEpwOgEzLK5W09IGMWiZQSLqpFOH3XTn9uZzzBozXPyQwCxVIrNuIk+jz/U
EWQSX5LGyRFOQBDSDxrbV3PRVKh5eWLbd+cNSXLfIrswHmK4OJ3losfkZvnYxyBP8lG262ERbkgj
9xv7h5qDNcg/yAiWGm6TbAkBLLoPClCFA+lUOwR8FnFoort8D0oCr2YzYcIR4Js2UqXRqYYbEvP2
9PzCCK65UeMgdh5cOJvTCPgJkgD5LxszzCJVUca1N9zC2AtWuuuWEdXt9EPdakqrX/mL5FWBHLoy
qGJchpEle0gXccxT9YcsI/OUxqF1BrlRbY2G4dNaEyxcbrPgZakpm8JPEuLYhl6BclMtcty8CHOh
F063FKdhnOqt+vMMH2ZtkJAHBxk/uLVRcUkg89WoXigpSH8YkvLHPguCB3cRBnFtkq8uzYlEb39W
7D026SIkZmPwFi3Sor2IjPYiN8aL8OgtEiTo/HzdOt6pWeRJ2EPc+Q3z2V2kS1oaWZsmY7BW5BZY
Qcr3ga3F1Tcw8M/dOO2caVa7bpDZd68Jitt52DaLWDq0At20XiRU7jHGJWljdNUqyqsrPOhsUy2y
q7MIsO4ixaqxid7FD31WlU2zlml35STMblVpZvdUkTBGXKTdeBF5LctcSqrFZpE7j/kiBWe+ozZG
t8jDg/Xq9jXrY8tIH/NFRHYXObllkL1rfmjM3A4XvRmTzxpXdbGbfujR7lK2s0jUBtLuyW2GCbxs
PB69lkfkmM7e0cgo89z8d53876yTbdMV/9LgfvPWNG/vUdd8a9s/jZR+/uTP1bKn/lAU9fK4dl2H
9Iv6Hz6bXNBt9Bi7tu96QrjOn0ZKPisx5j3SNZfV95+s7gyoFANEn7urRQHtX1ku/zb45FdbEnOl
w3XMwQDJ/XmgpJzJM8gvafZz2feoDNXe8MsAtjOi1i+7iH8y//1nR7JNPP8mDQS29QMT9wsGLitE
IebR4kg2A6fc1K+6KEcYj2iGf/1IHEM5TOJsIfzllfxypLA1grnWlCK2AwvHoDPvmh5XkQfh4S8f
iHmgLYgLeLyt36fGvcwsVdazJsGbfk+z9Du09u8J//xPDkNa0pJ84//wHbVeNDeRS5MU0qXaKr/C
XkJfDXS0+D/46DhXlfDZ4THi/L2sOdQmVtCId9QHrFdHUsPM9mz/Uhf/W2H4Mu3/xQ2wnHg+AEJl
8z1Zf9sP/volyZ4epFbBqIwWRL/XEekLxyfLmJ503/t/u4m9j/83/Fb+k3PvN+vB3w7mUEItQXsR
FFlezC9nhMFDjGuz1AdVNf5GNlDyE7+ilceI30wfu3csameFb6/966ei7wmaaxZrvef9fnkR4Ozs
LCr0QVcg/mlycfCsGTDREv7tX58l3Ef+8QN1pc1dgd00V/Wf3+PcJd1EXFgfjA5Wed7paZvYZvD4
r4/yT65i3/vlKNyyfv0kfV8Rt+oyjgKk4WzX41OfD8WpoE/zP/nofjnSb3emgYalkhkeJ0jWUZYz
Jm/0UGTrf+PyMv/xTcFrWWb0VFsIG3n1z2+qhL3i56XOwfHbWEnN3oBBo1tqoEQ+sQw3mZiq2tpV
9KYcTEq4NhhZEH8ruP19BekIQoAct4yYu3VdFsM77H7GpwnCAJLIUmuSfv/R40fJdX9D5J+qL00c
dWWrssJFzV+ZIvRuM0Ub73hiAJeo6M2qlU14iKI7l7Hla5/T6DDko3sASgxCbirUfkg4n1NMTeFS
PsXKLS0wJ8HeF0dmlIRfU1L3rS2Lx9ZIxAkz5vBOZFntLdh5JyIMHCUR5Xnwmz5ZRxLL4XYSmfk1
SZdCBZYja8NW4i0PeNOwffWOBIO+o5i03LSuYDbeO0sNhtVhiiO20SpaPmu9qwDVEJyn2MGotUHX
F+9uzrlx5QlLZ9kW5OUXtHkU0grheTwCAFJT2RQxCVgDfHJOgmawfVLP5dmiRwPbMZ4fX9E9R9+E
/UwexD2PoZWQ3C+zJ4rz4n3VOPql8nL7OeC9a5I2ln7BVd3NvKYe93okiUOxQGVKSE5F0FqBySh7
YvXrnn2jyR8MI25fg//H3pktx41k2fZX2u47ZHDMMLt9H2JmkAyOSYl6gVGihHlwjA58/V0eqbQU
pSqpq5/T2iy7ujqliMDgfvycvdfm0lwmmWxuvCH7agru6ZB51vsySL+qbooeem+pLya9NCZdR8BH
AXps1xYmGSNuiCv7Fse2us9U6lywovdr6BPpfsTTv6IMwNUDZ6M6wkwJyFlDYX6K7Sa8yby4+uoZ
oTiJOuMiDoVbbSxjCgIQoTz2RRc7R86iwVUCdHKb08p6T2BmBjEKkFUpm/gR8Bs/Kcbd8jFcgDyX
EmFdxKG13BSEiJGZhmat2Kc4bhoAUGMTbjD7jB+SqDHCrSVGgiAq+lALeDNCwQ04xe8Do3IfSQgg
uguu4JHfOG+rnpXTNAM8WJkIn2rLE4+YnHh+3NaEAgAIn+E2iRhkXw2KjLBWNTYgQItb0EcKBIay
GpRxBswkfFte+NTJltfOMRcySBy2uIVD0h5rPuRCt5ia5KknAHPcD0GVvYQTyg96HOM1ahOUkSn0
xT1pJOp+or39gbDqfI+/u0cKbLRWussa2120vYuzVtvFaKg9lYtPIJ26V2vh3XLwaJPoPrndHyOE
q2d65u6lzwztUCrN62gHwz56pvZiO1NqMBbjTuBHzz/K2MIAqPNcWtVZa+YtX2FlhVeR8OwjX0Ts
RIwh2JgJmN4kpZecwBzq9KEi3CNNmVaDzdbHAblA8d0GQHyIPaB9OOSbpFHJl6oJXU3wpFvpIR65
csTwoenmcW/T/yHdHf4hKuegOmIU/9pFzHCl0ZvrToAEa+Mv/dD6m6RjaCytQ1+Pn4ZkThnSemgC
I+CmbIX+3TnPhvBMhUaxGK/HviXTERjuzgn6CM6an78P8HZcmiGI7MXHXb+opl+X0NawG6dEk9t9
wUPNqqhuEwhZmwr50Y1NUbmTBm99PhQIdceGQRyx8NulZXUrpx7xjd534csFG6vMXmh0opRFq8xR
sAvu7LEXpzqexCNzOPtIz5RPY0H9OITAU82CBNKx4ue7HRxvhrYEvPfVMH3GDUOOX9yx5iROHtwJ
D22oY9IBdlko25b1w0sM/25By0/ERjuDOZVVtHIB1N1Fdd5eiQk9xOpcaQ1hK/eFCWMqmzMWMQt+
vDfx0QzsW2i4Qb+2hJg+J25FrjM2OdqiJk8woWltWtzYDfzvBAUxN6FsbqAKUFcz/LqEcc/DNMkE
Xk8pHNLXuTppFE7Q6QexPa+6U5I+9zmeRJPeC+RunhHXXMQph89+YgYX70a876xxVBIrA8XnKSOf
FeP/sh7rFmqdzkwl/QBpx+LVf6SKK7T4UYXexG/XDkf+9cAdpjtmtud4pepxbGKUYV5VHaOF1MZu
YO0xYlaPKeSlz0GdbsawHnZ25uoIZeKHAOSZn0Ix9GDa6ALn9XATYPc6AFogOSepwz1AYOO6b9Mb
O7XHDwZppTezSvrrKFvep6Y9vafTAIB4xvHiLMI9LGG6bBEclzeN0Ua3Rf7sIwfepDb+PeAPUBDT
P3ifn9rRRIeP1GCbxOSR9Kbd3DhzZyHumOM9i/snw0VuYPlseuAcnQsjTYonSYbfsa1YccwyEI9Y
0Zp6vXBLUcLoRdZziMFduAc7zl7TKveUjxDNwV4462i/EtB1u6+ScGWJpEE016E1QH9WsJhlHPKY
LFoZuiQRm/lFNUnkBEGDSq9iiIa/YkSovCoaO4ULFEtIF240SWDspYUhB1PRJO3yCMLPbNZ1MMgj
jfZhwwRitopNJFXte5fzZClG6pNZtKx/uPqIZ7aILtuQY5jQCkrHMjmSHmWPdK1KHARHZxyAw0be
YNP3pxZvccShsfe/djPKgFUw5uWXxoUFgQbCv1ABPoU1IM+2o7pxza0kjQ3tHzFec7ru276/pckB
ATRDNTQgN4izbd8krbNZ7EEPtTvRfSSXFrtNrYqHKbMVejbhMaCguHYIf/fn8VgV9E/h7HxyguGA
Zg/35UxXjRCVBEcx7xcLx3jn0ia8Fjaj/g2sFsVebc173lPLXpEtCyKyCPqDJYd+q2T0kiduvvXp
nmwtsyYJzpfiQ9mjJxvYoyEwxy3sAscajHXIfOHE6xp/jgtfDKtckCdU+MDQssIwLlKFEZLYzZL1
zfFYvhmLD2tOSwjdJycsXCRHSYuGZSKmMgAd8RslstB17ZuDUcjeiUTa1PMr7T5/W4zCjIudoTOL
g2QD3XjWNF738UDnN2ipE86xULONkxqwEnVFHrb1JS+8e9nbJcMpEf7uoPbTOE1/HzoEwqdDwWFX
nzu+Ozv5xJjwDvB92lI8DeZ82Wr6G4EjL1Ux3EeQNXa/PmL8dDIMTYFQlk8iTJM+hz7MffeBnTO6
ZTw1xWFkqnFTReC0RcV2XFVJfWk4kE5//Xnip/JffyDTSS3wse2fzP5VS4HjeHnBgiLJbmOVII6i
q0YyW9rypTdQseZdQj2I9en2vO1MNVGi+8QishBAl7GO8sJ9OQdtqY59/dffz/5X388VkA1QEjNI
/PFQ3qi0hiAy5IekJOyTxnL5tSbbhYSKHm4Kvhfo8VvmQLxICfTs0+hRayJPaW6AsiC24UdQylTH
wCKHd7Y4eeJ1AS5XwCy+dKw0vKpa8Eu514Vb5j8pGd7QymivsyrbioPr1vHL6MF2TOfF9pxlXEHQ
x3tqCP8OsxwbcDSr4slMU+y9eles8PNCjgF0lvzmWoifBNDcK5eKUlvhAT1ogfb3D0c8TFHG7pUf
ehD4dH+7etWTT7SebOeDTH2UfpSNKxBS1s5tQxfda3/89e346ZwN0IixMtYybgmP6Q/foAdOinJK
pAfCc9K9a8T1ZQOf+zfLwE8dCz6FRoXlMWa3fAReb3/nkA4jeOo6PXgOxTMIFWNdYepYS4sZNH7V
2l7NuI9OCSkFH379A62fr7Ge7Ov+TyiE7fx4HJ6hu4wtoNqDQ/ZOdCicOrwymGp9LAdKYwD67nwT
Gm6opS5POWqir0bjaszwSOZtXxMYotdb7HmygM2wjYlW2MEwbUHkxiQG11VHKrOI+gsjgkL0Z9vg
H/fDb90PYcDS/Qv3Qz39IOo4/4FvberQfCdcnjOEGd8rOkISRBxeN8/yWYwtT3fO/lJ0nLvXIvAd
utG6gceL8s314BAj62mNiImDgueHP/X//u+bZl33w//9X6AEb2tkqN1//x+wRDzs322JelWmGe+h
NglN/A+2/fZlAFLbj5WfBkdTlurSyDo4eYQx3CvbzV/LaqQiOusNsf2hPczPMsSzIPGsTQTxb9yi
10KxiExtvHXsPnrKF8ZRl1KLG5MersdFfVYfRhXHMQ19RAoJtWuLOMp/mt1+uhvaxsaBNpdFdETD
V7yOWlQ50uJ4SlSdIfY8qy77swKTxraeWE0XsNzTCwzTxTY7aza9s36z0lJOYh2LLxXqTiI1llMW
qpEMeuncI1BFBcrxPPoKsbS8iY3xOsdATKVZpdnzoiWkThSP71UsSW8GHvmVSE90pmHs0mBplX/b
gNNAojLbHZOpWF0voKhIvSCr8atfGsZdXWU4k2nBxqfRsGB4nzWuMepRLCW17VxZSZaTg8KAC33l
hHl5aeLqUHhRt3XHKHkGfEn4oR2Uwb7TPpUV5oziYRZJcsOEGz3qUMeHdCriPblrwdFFe783a9oA
m6UsvYcyiTmdLFVS+BB60a2hRrcG9NDwWADZsN68QhiFDjMHrQ/LpBgR1ANnXltRLo8DgSxbnJRQ
sXA7ELEmVXjZQr46O2EqMpya4ESZEDKoHv3hfvRLeYjnpD7khtmhmonYosK0LOq1s3jNgyym/ij8
AN2rpbg44LX6FQDc4kZg5DVJIV+yGzC9NZFguOc/FBRBKziUfYBZpMbClywz9Hcw2yEyCS/qNzEB
Ztuig3kL9AAhn0oRmEJDwKE+KSAoZtqRrZCVdrLyEjjK0K2+dvwtw8HsF5luDPJHv05g750VIcHF
tEqdpf9ctYzJDxA7i6doUNnFaFdyu4RzZnP69MaXRoSIYKYWKSPqyV1o2C1sRlvawA1DhEIqFdPN
0ndx9iRNwkghpBpBSoCbWDA07H0xpvfT7Ce3wFVmUbxydy3AbUnZplxbGNs4nK9gk3FYO5keFcEp
7oBvlKLGLOn0IxbZyUMvIKw/4oDPIMmPPuny4HQgsKcKS+C6F2KsDlEldNAkulIcHHQQQ8s/IrgG
gFzmJa+33a7nGqpFnE8rv0JaCMir3nakmqxlL6JdluTzyvB7iwjAkOCrGHBZkYtLqw/xG9MaX6na
uceDdygm04VTCBASDjRKdLOaD5houO6DUnAlRmeONtD3eAKdSponDo2zt+m6wYadEeH4z5b+aJVt
CfYbwQA2mOlq4GTN4b3M99JFpg+LZpGXXgdAE399SeQIgy7O+Z67B4gL2Sns7siakcSzZ19pVvwh
DFpQRZC/BoCkNxnNz1WdZt2jwaTgBB7dX3cVykrOIeKhdXJWrQD3Nzoa5P6mhzUCq3iyyqY4WCNe
x8o95LdY/p9Cepl0Z3ixjdo+ZH1870G9IOoVomdEhuI6S82R3hshhod28QBV5J6+2vX0aNp2sjHx
gBBB4ywAjD2qOyuz7r1G65GLJacp3LoXkGkAv1KWKWrObrh20VVspcpgJuBafm8XjvPBL91sk+Ro
UFSToOUZev8RTeBw2UxEBbBIdawpjNVRqKduZHwG4A+TM8nBxpk50GxyM7PbhRL2S455+lAvjnMY
jJDgOcHIYRt3sdpFFqT9vjLL9dRRcmD7lqdyoF/st6WWrFovpocGh+bquFNRudCXlf0WBg2pszYX
5W5C8LUFZFpx5o8LrrZlZ7yoiAbCz2k6s4kEtsaHp6pX6wQZ01WK6+OGZjsmZtMl1JJAGIQzlrk1
A+Cu0BWHXdsF5QfUM8Ft0seoxGNu/4cMHpflDuA5clXdCDJLkOfH5iODMVIFZqd/9kXsPPhSc2Jl
QloSnp5d0aDnHZc+uMCEw0G0QIm3Ja69YNFN0uEBRB/coKSzX+yOR9q25XSF76C6plfXHZThipuu
c/O16tHfdZApH2AhegHUJ5Ge+jFESYK46AqmMBz+xM3WY9blOOkDlswivhFhl4E5NVLYRYMfkD8Z
+Hgi7HhDzCzSvggu4RGsabIrkThiZy2iPxKoDEAsG7f7iFwhJdnKGNMr4ILdgdRQ0MmLUJ/KfsiJ
L2mWR3u0EXlHmU9LhFymeOXL7g/QLNbVgpD4CqE3eY+FZ2Y8bzK5d2nKPEAVswgjJ99qniS+JuIu
k/eNbDoQ0x7dx65G5MnCJA/s6OolySGB2Injd6sBDBvmIhtXv+UsRH8P/RGy510/kBOJnswWff8B
cL0WY1Dfi9z8QORKUR2gHLXpewftCvnIfe0N7ES5CX1jqRN4DhVEl+0gwCTNtFwIvDbV8hr0o7eN
8hnZFoB4f5XAwBsJ4pyiVZzMw34yy8dJKblPicqiG4wMkVtZbIaqKu5srXx0K/84xNCApUcMw7no
+6c+/l19jAKXVsq/r48vX6rubdAeYhn9R/6qkJ13Ln0Q9BjkYzmhJahSv+mehWm9Qy5iUe4iotBK
jr+rZA5X33mB6WYI4AG2R3VHZ+eHKvhXVTGi6Z+qYhQONCKFp/synvfDwFdGfVBksfIuSwvs7JpY
F0HKgcApAwW9M5peguvD5kIjs7Tr6FQTOOEiJTQNlG5Lz1P5UICUMkosuR50gK2xKCCthyDiiUbn
O0Jc8CX5C6c8Acbo78oW/9p06s08TSB+Wz7VgdPhG4t3fVeU3tXoyO5zHk93pI76GIgsw187iefv
ChBXGFFlDNJ3mR+MYFnEFQTnlEhOCErYC1gPs2WP6r8zryolCpesHBOjBcEQaXcoJA3RWziD+UMr
o/C5KxYblRmbrs42GLPm0qvaBAH0HH4waFHUfMTsLVsVFhZYUdoq1cqeyS7TqV83uay8Z4m0eGOE
9fQRBAg7DhqsXT3M0D5AZmgVtwXlq7YTkjf62iCUdimLiwwW1kevc+UHq7ORN0ONDj/XYfC5UPMp
MGE1w5or5wv+EV2PTHJvUjc1D8ydxbbP7HCt0NHy79ihvBuyKiFiiIQKiMbkWq8owsNyRenMkkiW
1byahDseiEAobwcMP08qKfGNtPO0x7k938FsnY9sjFpBnVK4YvowUoblWfrK8+DeZTmcwO1YW8YN
OCRMza7Xwk9SAhlyXz0mi08JHgzIK7DxrMkwSKiHg966dlyYyEZdkHvgScu+qZ142IQN5XJJAOXF
mIrlsoDUMW7SwRm2wqqGraFXwwkO5M6e7IWWQUbewRzJ5SP5Lc0OcZGxB+mxXDiJtXxGXu1fJJ1o
HhZzjk6DIeur2ogHgLKLMd+oYfHg9+7U6PSWR+n57X+jU3XG5NpwNbVknZpYchh5jaFTtcesYbZX
HdGiTkW98ftIZuHOag2EgAJWyWqcSAhftmaCXfDzPyvq/0QhZ2tF0q9W1PcvOC2qmI7P98SFb3/s
26pKN/Md43w0EiyuSOG0m+OvVdXCaGKjFePITEv0r7aDhsDSGw5N/tA30dxfbQf3HZIDoQVFlk/3
+D9bYN92XVGN0eWjAYa+TnejaYy8bToQyC0Hoxu8u3IkvnhdpWrAtd71OPcn2X387sL8VqB0/rAw
pMNC199h13F/ELvErnIKP+mdu8SYm2dOwNbjTJ32lKd96+GpN5lLm77zEo5Ze/hffDSwW4YOsE+4
qG9/Z2rkQvVEzNwtoeKjwxYxwDgD/tuCamKyD/GaNEyztYiojxYUBr/++Le7mP7l6OYswYgBTSNn
wB8+3kJBX4XIae6K0oChExhjDy4OnkFzTGv9caoMgqtff6bexb9rKH37UB4V9Bds8r79w+WuGqYK
cRNaiJIr67FCinFhEeMpdz6BoU9NT5SNk9p8OAtv2+2TfuhfvaZL94VBl2otPTrjjR9n6sDAmVjm
hazrF5rGmAuJWzDFJd0bRAWpniquukaUJBoQq2r/Wcu96ZR93xl7O5r582fQIAalY7kgWM+0kO8m
JcGEOQBYhHUnOCE9MWl3SEIfcrULOiUei3SuL5FbdK+/vnpvu3HfPlXDluHY8MHhD3fMM8jIVW4r
7jIxikf2JwbNfpV8NTMl72axqHvXacSJED9yYGeG3L9pjf/8YjKMQnfpe2bIc/PjuzKGYZXLXIk7
z0Bnk+oXhqwPdRuPUvyG2CP+xYNiC6S2UF34wJ/GDdGMVAnjorhz0lDdGwQ65Ds2QI3CtO3uVeWO
84JMW7+dJvNAxOu8LEbmq9uzgOrXF/5f/XA0rayWqIKZ1/7w1FoOkyiEVebd0EteEgciZ32FJd8c
OTXn4f/iJdH9YN5L/senR/d2YRBNZqaGPVp3bUdMAIk1xbJ2YlVfDr5ZX5L+6VzYIwIoKVOe8rBA
nVCCq4D6lQljWokM7Zbhjeo+lugVIHSiI+1z7ezp9WktGVHFVAgrUgAElZqOYYJDdPfrS3aek/zd
Oj4/rL7F/YPspEWYP4K8syKOhoDk4DtUaqbc0QltD+fnRvVl83wWhBTBxLo3cwFLAKbbOF2KFDVd
KA/NXDJsSXNHFvuFRlwLOMXsaNxAHfz19/wXq6BPdDdzVAg2Dnyft9faIAhixHwo7twFWPjqfJnR
+jfPwozEoyza3z3Zegd9swR6iJbRPHKEEJxomKe9/cSyj63MzOcOVKpdX7p96b5ESDr5h81gbTBt
dUu/EY1ilEYRmJUxowM9IQ14SIecEaGNQ/rVrkeedJMVwDR4CVIE7eD4eSbOl6hj1/AQFiCJ6kYf
pRyg9Ss0dqQP05A+0e+sL399GfkFP/4sfgn3GTWvA+mC89jbn7UEeQhTdo7vap6SddjMS7vJfCO7
kXZBSEtFIOTE+X8k/M9yjcJbI5mIkl2IEFFrYUzbXM+qCdd0v4hGLTkUjEts9AcIbJw1aE8T+QSM
lgxH017wCwL6Nv5ojDLuN6aPLGg10Wl211Cmkm4D9ZQ3I+smquQyAZ9EfmkN+qip7oaqTy6Drsyu
rDKoT2OGDokg7taEtwE9+4OY/fxG1HPx2cw75GnUAXSp5mWhKa7G5HXWncpjPyfVJu3Zv5F2upAN
pZ01t9LEC0fYZujB1Kk7c+P6SQAiz/eN5mlAfTFt7Mj3H2A2JuZK4oQHZWeNciSDJG4JiqB51q69
3go+SYOphvau9flhUUuPQ2YYnPbCknOKwZbD8JUVD4gtmzE60nQLH/DKYSPyYUW0d8aEvgFpTF+5
5HpaGIPo/DfNLeqKgtSz0EmiDbTA8AmJBdtuzjPiE5pNE4eD3FaWCf2Rs9LWFz1T57J23RcSkikT
qoDVhhKQhXhs2AW6dOaPzX4H8ydCMwLEncyglRJZgZ0zx63DziyI/ADxXCGmaI52jKX3GqykvDJU
GABrnUGqwDjUvEqi25PTmIf95wD9HcZfKzHxx2ftJkRlcWot4HQtsBZAMc3zZJrLB6ERmZaGZQbU
AZ/mHqaLm8pu76N73BECUn8sNWSztmGDyzN4UyM440HTOBcN5jQHbg/Nxr7at3Hj0leH3smDVZr0
7gkgAOxJGPwMnaJ/dSTWIOWmcfNonGGgYxV0kEHpIIVgQkG+mJw1YbPU/qb0UdoDCpjh0nGYctww
0ocqYU2WS3aQkxqCbvNMOnW5CXIRNh84zHk2XzfPCNyY5VwGOwYnFD9Yd++JX+VKA6GvL2FpUQyx
gjsvwGl9G3bq1MxkxEU4FI2OO4agnk1hnm2MZX7IukIGSbpPZ55KgDr4rHe03fk7gLE1z4iOuLOg
S7mpRHCjDTURB07hxONVxSTQdfnIkp068R1NSUxvy+w5L5E7TZD5TerVvghYjcrJfcF8Gz5NQE5e
uyVxLrzBY+FxWId8pwy3ZZvQj5S8obBnGcLgyJQuX44TB7N8H8jJ4GFByOeyvsyr3HoEwaH/pboI
r5hEsj6znBE0TFejjDdC9Pw3yCL5TWNK4WOZZMTDNCWQZRe4XJzW0uzsvrD5N9pEZCciiVhisCkE
V8zwwqvQr9W95Xps6qnBinpeI6nhgqvIZRP1OeOTRRgwNg/1pWSQJx71kGKg4ODbloQoYu+Vjrqt
KTsxVrrpfCvPtUhekMR2UxHbeIjjUZyGhTvC2IPVGPXKIxm6SH+tbL4fUo4bdpFZj1lksT33qpk2
s64eZ4trjwyNH8UrySflydi9pjUPQ6b/E5k2DSTcjOrTzEf3BUI9LhVdHjUFu60MY/mc0YIi/zft
5vtzobDQg5mPBAh6L5aivs+AxD+3ki+DSzd7xZrncy0YBTOX1eFKCa+0V0fg3+GQ1lc8Rtw7S3/b
qpZsPB2CzA6v5r2ZmRThdS3DrSvy5hmIC7v5nFtGu420kt3rljKCq8k870J2Ld985M+MK4jtBFNI
o0UYcy5wcHqj+wGQ/frn4YeJJxctC7Wc2kUjv3YIt0aB2TAKvEYSgTK7dJ2XxIcIt2fb4Qs2lsIS
i4aacSCpS9GnwqCHgx5Qv0IicjO1G1WryyB2nn7TTneBM3Wv0Hi5Rw1abwuBz2sYCzbgysGWuGFu
Yl/kCcIvMQsKA9OzLzzu9KmC9XnBz6kvSS727gkfJi8b0gfflplDe5gmdtxeP55uVYiTSdow8dfO
wN+cjZSrTpDNw3UzxUZCLFPEGVB4FU/tkDCz2sJG4stELg8wczquWQ+B4UmNqf+Y5QHJjb000QpZ
Ic8I5kn3JSknrikjNn7/eRHIC1vdz2nFVSlyFEfe7NoXMuQNazz98UiCg3Wm3/qiR7afkR93Gcbc
Vcp9eZCRzV1NLTS8BRs512GiBA2rNHoyklndqjn2Xsgl5n01C4J5rXQxvE2MoPqqpaM4rs5PoqMy
QbZqyhLgQjlUW9EWLD5OLOPuNlTgPy8CKDDRKpMOS5MFH+VQtkjc035RhJxxHO22ZGZRFFkBIfZQ
h+PyYTYRLdtZJh4tI+AMQEeOrUmhL53slotsW9jpIbxlYUGjLmyevZjW7FqKSd2efyE7ETVyp/VM
bd2m+/OBd5mM5nkRNq9ozBE1Zek2VxNH2sdB8l8S6MZtQfaKRyWYuE/nivG8bc6LyRPVFIZ9YQcJ
v31xGxReVmCAMLDKTTsMnGT0VWubUYWbbBLFskEgwEvv8SvyNHJeENDzvlYJep0CS8m9ucx2tPHt
BZxEVwgQRl3McpTmvFyWA0MfLwQmdQQWFunkFdPl+ySNPBt2ty8PM4yIcuuGmBruVTuRrldNTk5e
JX6BF0fplYV/Gz2RMjm2gtC+yGVtALwPg6k4AsDmT6OAsOQDnfiJRyTKudCL3lzS7Lz2KSsz9nUs
WOQpRWJ9JCescGF4zTNxvgB/rkX64A5hlnVBL6w4rtlxzs8uwXK8k6qHEqX8dP7Usg3dnZ9PRKPR
HvjDsMcb7eTX/hDwiATm0B4cNx+PSTy3wbcHgojm4GvjA+9a0yxvD4bmrhdz477EHr2U81OB/YCX
glB5cfKcihdZVgJFt+425J2R1msU2KIiCqxiJQJ5h+NFWjQhWjfDmpHqH2RMJU8fiYQFZouJ/99M
IdSCvLOwjzj8BB458egmXj1tBPEPwRr/PTsM5FMCcRsemgE05xP0AnGDA2u546TOQ20aqDDW/cSi
fV4BnbyH0FVHPhebcEq9ffcZV8lGZ0sziA0ITUoMbGPd4AzqiBttx2gnjSBkuRr0t82Y/iqUxDOf
y0hU3ZfMkb1Vw1HtKVQzhZ9LvNhqmEdYxxPTbGIxnFZpEKXRLA+jwN986IexSm5El5n1RcUyemrN
kW/hBj2fEKekwm1MgePzsXcHipDYyNF3AxLcV43Sv9cPp1tnsPyHIVDlDcK3z0hAjDWE0+7gFhIe
P46uyymPs6+xjZ7Qt/C32LhscqT0eMRtxfaYpQ070pySskqiTR9SoczeU57NXOe04YbW7rSovTFk
hBdUwTyC365hAjIVvEibJru2nU4IYJduecHJXh3QQFTzmpCc6jqqkXuEqqBe8CxsFA5FJg6xzuqD
rVJdbx6lXvyP4ANoRGKsoaYaHIhfVlEVF0Zt0YWhyzasZRFNxkOcWdyetmz4J9MVLhKKeXVLB3Bi
rD21BwKdWJektlmWuqSTSQBFP+6p8JQ01gO+ocvzQTkvWGUnO+RVDRNtkzi7PKLFp9lk1dQHTjTx
TdV5M4kS1u2FxJL8S02Nye4SNuE203u4IJH7KQoinqDzwTA246o5IlhFtdT2rGk1Svvokn4ajDZs
A1epluxPDW6oWKEzFEavzTo4BQhRdy44g3Ff8bGwfzJy4WktY1arxUutx1H7Q87rZpjlLI4hG+Z2
lhXvRKHrzSYKgysYj8QSgqFljVZO85wTo7Sqgbi9tJJXqC94eBh/50ejdnderFfmZSEunRl4khws
Qve+OKNndpcYjXjjegNcuJtLVJJ/VhiSHonBzlySbOvAsFlQeXFgU/2h43xDPvzQ7uu+Iy4CN2LA
WaV3X8x8EY+YZmnZIatI1/R5uCR+ZrBtRJHFSaL02Fi8cfYeEzrWm0X6CH+ANpzaJdbLwblkds3y
qwfbEb9VVZq7OC/9YMug3Nrxyclj0pJYo7SZKCHv949miOHP8IawOnPaWbCxWTo11ytJ6Z6dxrht
DXJCyXwNK9BAra0OQN6Mz0Nju68EjC1foJqNX2s8O5Tb6L1W1FUWUU9M8QRF2b6gufLB4eu2xOFG
JJZKWWVyK2slj66t0lPqN8Emzrz0fdn08YNHja/WQ4lnKO9ccw8GeD6FdoO+wPDzz7Wc+ZvcCgEV
lXIVxgTbGJxYCxOrELZCJnAacuY9n9sK/8zMfzMz1+4DGiz/fmb+UA998l+bl7zuX97MeP78g39N
zr13tLYYU/854UET+veMx3TemYhHbY6dmPXf6Evdd6FDyRjYYMH+FKX+Neex3tHYY57t2aHw6F/9
R/JSy9atrr97hC6JgkjKsUwzCgiBNwjdZv+ujU6Mc9VHkTQuaSiMd0z/8apquVOphU++lkCZMMPu
7bMsSgukhJZKMeiHq5Ijn5q1kMruLJw/sgdvetZZRRmR1JUWX8HiSbY5eqy4sQ/sqeMq0lItB83W
hHZLb3vAT5FzGVrYJc4SLy32CrXsi5x7FGDSKayHXsvCIOvBNbHj8oTmvGN0ERIh4PfOhuyS4hU0
zGpGY5ahNbOpMgFDDndzOIOz1II0Oblo05A6lfco24Zj3QTyEsXfCAhJC9pGLW3TYbhwKT34ODGS
lkxL4BwthmPBsgk1qBcqay7nqfUM1plJS+jGs5oO0zLKulmL7BYttzO18K5xpXvFQf5QFNY9TmeS
7bVMr0SvV0UKrJOW8BGPZG1zLeuTkpw0LFAlxCxEf4GW/0ktBEwnlt8caSA3q7wEL57vfNfwj8Ro
eOtIiwkHx292yopVdVBntaGrhYcwVB+kWxGJOidP6BqtP6bS9S6U44/PlZYuJlrEaM5aIdG0M4qu
ok7SNlxLg2X2cqygyD0gvczzgci0OjA+s1sInw2/GEhfHzyieldDVXfL2nRrGNPkusme8o2iQdpV
cIJRamqopATe1mICm/YlsdcHy3fVHp5NheQNyMuNKrVYkCWs55RglEm/CpbOHld9nLokY7fmOhMw
0rZGvuhuDgJfOouAyU7AxO3G2BilUvGyr5t2advrOitSTn+IDrEawZSiUe+HlGkKYh2Q5qr3QM5x
oLuHXjEh1gq7OjWynN24Jo/jLqLw21do2fz4xvaXcZx2YUR7fmFA37T9fdjN1kw6u4lR6cFgSwri
LVKEAlYkwLFBWTuCIAKV8gW82jXV9ZRWUNB2EgIPcMfCFO/roFF3k5ILdNGMJpCO0stqkHMkPKfg
+aO1gXUr3KbzaDwluZvmG2vxy3nVe6W6zmkDE5wVyld3ieWyqaUV3QP8poPGvAwYGhFbyVPk4lw+
GUR2iXXZzObNMk7euCsMjHOUOQnOONHjd2RgkRzqqjC26eLbmEmCYX5oowSnm2206n2ewnpfuZKu
GOQ0YFlxGd/IZJY3nkwDPDMkx3mJqKY9X8C8XszO3ZaxRHBaFcshnavm1iOWhZJXcjrCmuYsK2em
54FdS9BMzbLoIgk8dGANiFrOVr2fr+JeAcA36HyuTFGRDTwueUkz1e6hi42JtU3Mrr8fRr+6lUET
733prBIxujdhNsaPUdGoy6ZoLLqNRrz8syF++Z9IHqjGPMah/35DPH351NKHfLMZfvtDf22G7ju2
VYQLDv09RGP67/tL8KA3QxcNACkTbshz+rfowUb0gBuQCT2ZD4Grx1x/bYbmf6IiszT7883mFzBt
YhDOzMS0PYRtPwxMCnsw0OAk45VNoDnqmgX5rO4P28Do5upq9FNnbjjDIPv/QoIfc4Qc3eKjG7Te
Rbf00cP/Z+/MlttG0q37ROjAnMAtAY4SNUu2fIOQPGCeEjOe/l/Jqj6/S9XHPnXfNx3R0W2RBEHk
N+y9dlF60Upqu2WepZG5t/Sq7vWckbHCyJPfo8lMfkRgK7VdtabDZ7sryxvpiTYLR9Mfdn7vpTcM
AcFNOjLuad9Xc9sYCXEIzIhu+rh0YEWwuwOZXd7luV7d9dM0PPiqAWBwHecvaKKmk61Jb9jM0q1Q
ck7McPVERTl5tf9QJF75IM3+xfXy9YjNgSevIeI7t3XWB3zv8mGOCey2ABmC++xRwk1WfyI8FwSz
Eo2OSj5qX5SkSI2Lp0HJS4USmlLjojnFRjDfYVbs7qhZkk8cpcMS6EqoainJqp8I45GnEjLW2c22
o85yZKPpHLNSCV49lK9k0KKBNdC1oHZX0lgMzetTpeSyOrrZfJ4lIfBKTKsrWW2bVjysKyW2TS+6
25bv8LlQYlwPCu9OUwJdWdrMghMl2y2UgDerCDYiLxRZr6kEvhpK3ynPMmJO5zxclQy4Y4Nz0Kca
NXFSDdeVkgsnF+Vwr0TEi5IT57OfB72bmwRbzd1hUbJj0erTta2kyJSB1lum5MmZb/SP7ELQLJdK
vlyZTc8Bk5jkNyp586qEzq0htJA5Y3UPucB6ZEnRv1pKGs3QGZG0kku7SjgNPFG7sVKxix29/8y1
Ql+NZNq/A2JQfrZwKOzY7ZB7pyTZkxJno/zXtlgg5m/t1HW3EALr60zJuf2Lsju7qLx9Jfi2Ltrv
VoIw3GgXTfis5OG2EopXF824q+TjixKSgwAcUVcgbACE8wZI1ruqlPDctpzmxpZEXg1Klq4pgXqi
pOrzRbU+KgF7o6TsRYyoXVfydjD12Z3e+Jz/SvyeO1nDsaUk8d5FHR9dlPLwJlHNc4YPV7BFBQU9
ovpUyeuZEWQhjbzzOTVK/ZNUMnwEzPo2UdJ8+ipU+nXTjvdSPf/by1GgXU4F9kZPbNGcW48jQ6qz
Y1SnSKrOE1OdLPnlkBkuBw40XAGxr1X2HHUiuZfDqZsqDiqmktGR0SeyRHWOOZcjzbscb9HlqHNl
VL7wGGnuFnUSVupMBAfrbFN1TgJL5MjE6dQw4uIclepEZeEV30p1yrrqvC0uRy+/7flTdzmQySpc
Hl0X8i2McE7sVZ3djhuVp2EdKabKy+E+aq0DJl6d+VB4GLyASlSlQO7FL8Jg/UKPW0dNYLdtxJMk
bUi8L+tvxaWsGFSFYV2KjfRSeGSqBomh+zPPuJQmhapSmJ5RsKyX4gU5N4VMo2oaU1U38lLoxI0p
qXqKP2og48+SiOJdVUgS3oJia0+X6mm+lFLRH3VVLGiGH3orGcZDTchEWp3Wxuw0Zk9eVhJBa49m
Pj3KbI69r3acR0kFu6fQJ+e5HLOpFVuvcbR8p+FPyb4tgoiUHHiOISUHF4fbfxvj3zTGiLeVkuR/
rwOuKCeGr/nyc1P85z/6sw7wSKwXPlI/X/kjTc76P6sAz/+Xg3oBhfkfR71SxP2pfbT8fyFrQPRE
MeCiSdSpHf4sAwiastHpkA1F6/2Pe2JDnfo/tcS2Z+p4PhHn0XyjRzQ/qENQZSbSW6P4NOLTJbgJ
OsD9ZMQr8t6q36ctVrcRSJQ2zcemtUEjZLXnP4z12B/IEBr3Vmu0ezCwuv4byZtj8hk/vDUafofE
NtM1mRx99F/PHWVBTp12FCNJk7c+j7xbD2gH7wFhBovtoX6ko9LsbSoj2ifAw1ozEhhKoxl98xiu
33f8FFu5bRZRik9ro8U3S9JOPVr1zngtE+IYJLlYzbrDh6SxcnIAqakjyOs0MmZ7zTtMOQoQW89R
cTBhZ5kx456hS3tOljHGNaKVGSkjTJfJsOkYZmFCgXABgdo/eRLGC6TubDtL/wlhOzO5rY+U7w6m
wPDs102xmWRb4rIvyG7eDFPWvpdLqT9AwqkJkrSJkwzSBIgqnFbmf7sxMpPi1Ft1ke9IKy9UY2iR
29h2IXOFCV5/9AKmSNvLdJUnwAHGfhis7muqJ/LWL8kGc7PuirDCU0Mo8ZNA6krA4LzsRQfaJaI4
PM3aqIWpWBGbF1RJN61tLddVTKWR0mltksGoHzTbf9WtrNtoVEV1uOZF8tkkR1Js9MGZzhjltXsC
H0gbEsnSbad0nK9jsT7qAJFu5QIMZ2bMSATn5Brxzss1+10ikNn4TdJtZqTDK6YEPXUfdC9vHkYC
hIMyoiR0xpURBoY9Iz/j6OoYf8SIZTh509t1bbcMKMxd6xcManR93lQJcQOz2zgMJ8tq14g+yQND
uuBMcG9uVyIlDrMVNVtyJLWNxTZtO+sNnKi1nxjwxO49V729YiEndxkP3VOMIvnEoMo7MTAo4jCq
9OJz0xsdWzrmMO2Emi/IBw2naZeupH2Z87U16uJbLBJ3R8RFuwWTTta4OfYwGUbJ+rJGZsx1t3dr
S4+8AWaZvOXc9mwT5RzQHuI3RvD+oAviBCm1xytn6oZtgUwRinTCQlYjigM0jMUH6q2HpC/lbtBX
cxPLNOGWlqWIdhMF5RKsre1+dvgjgTYX2Ag8f2BXNxlvZpyh2MmW5bvZxtGZ5b8delSiB7uxUVH1
TF5eMSGsJHpxlB/N0UUgU0/WkgRrT6DRHvMBJbpwuo4FWVsKsER+iwIKBddCE13EoMa6SHty5g6+
ia0V/dGfpXHlNw4BTDPX8TiSPNpBSSqSa2RK1RVhQlw99tZoEUdlA6baLRbTyTaVF9lfSd2YyHst
Jvm0Tk117ResjzfN2uZneDKU+DWDBZPpP78uNFGkY2C1GPeKmEGiOjzKe8Fw2dkj3nCPeS+f/WRa
38W4ztto6uyj72akKbnkfIeNQUI7T8LpdUzwKXP4u4uO+GWtjDBPZa6O9mpaSJuS4ksVCX8IHSKc
iDIlrHi8ASyPWtfA6LYpkV8CyBn7pLxGsYPIyl/G8VjH1A0hHj1s3hmuX4LlaleiMYnNW5jx070r
RwNfXcWSCW94V9za/DD2Ewwy0CD1WGtYEg0ixhgJuTcuj4OrMiE2lV10Ub6gM2of0sHq6+3MFvwc
teDUNYhRHWteIOupwq0L3CNFaAypHeo1/7vLPUqQtIK0j6sjz5OZJHepOeXP7OWqJ09h3eNlIM2r
mTAsXqjvTpfnXzOgrBS6Fy48Rbl7h2ALlRvJgqsCfwORNy3FkxcXtnzcSFfubIWcl6vVnpbSmF5j
LyFoQKHpDSAlB1yjIUt+DdqXQtjrF5p9r8D2CSL5nZhG+ehYNdx7cGzJPRNg81MNie9BLHNpHDpY
FHd0w9Tc49LnRQDfrvtSM7wERERsk7OXCrgPOCl/S1q/NTaOMUPi8coROZgxOQw6LQ9Kc44J8Vab
FcjfGYncAjffsxExQW/7WjLtWuF2XwD78RIMAoG48WzeZYuVHWVuztt2IkCAZ8N8zFSoAJtjg//g
puM5z488B6fNRJXZ1GZYITL6l2QCAFzi2rjkFYjFVNkFHTEG8MKxEiKfH656z3UvX9tB85KrEiMV
jmeLDzkaYgs79mtmQd6ePBsBWDtbLwDpm2OGT+rOtxKDVy2/snEiYcF3cut21prrLOLRvzrFNTCg
iNCFGrIlwUOuo80B3lIt9PSq2TaNnd2w6RJ7G88U/2CdzduKHzqJXSr7wRlMPTDNwQzLZEGnxLxV
oYa1L5nKjpCmNV/ZDsPuoENp/crOYPw6qryJHFpJKIm42qu6BBkNuRTcpQ7ijUtchX2JroChmVx3
9UgMDcepvLI8lYThWEhyAqNbhb0dkLnZIYR839otkmV7SCqX/uJmfV9tW5WpYV/iNZZL1EZsq9iN
rFMRHP0ljsNLxISN0FOs/EtgxzDqEvVRkr9QwvF1EfNuZ+Otptv5w6K7j/kcOfvsEgNi2ZLEgKpL
rHN3CQphHWHeRnkF775P6i+LShTpB7JFCNvg+4oukSOalVVfLAcgmqaTSGKyw9zCGAB8L1RiCbMD
47rjccavSCWaxJdwE+ougk7gYzGbEMLM33CevHaa4YYOGlzCKTK/OWXEMzCMnzwNygBBIUkwsD6u
thodx8OUEKJZqzhNWwVrzpeMTRUXxcJWRW8ymn2I/YnDmsDfc+LUGBxqfmLXqekaTggtHUY6WEIU
Ak5pE2XADCiM8NB/nXAJvHt+22CJXTX/JOxuUgWmY8otAYY+BmiG+xupYkS9S6Kor8JFUbmTM9qk
BQmNs7YKVhtZNl63BuIOYlBVQqm8pJVSnshPZqYyTEdL5ZkOHPp4eFTKqc49EG19FX6Kj4aTgDSi
qj3kLdcznCFRE+YtbOqvurC8x3kmTLVuVa6qzbIfTTO7yU3CNnLv1W6RnelX8zng0V6SO+HNL9L0
2wdyMcSXNvKyfe0CH1LTMuLIjEhlU4EahFIqYYNoMbJOxrUrRwZCxGGflo1xZ5JDV568JvXJsBTN
D78COxmw3NSPjZcVOvukUWOYP7h6ODO/tvor11tMGBj/bev+L+Nd1n+e9au27roe0u5v6Uh//Kt/
93Xev5hxYRMCi4MAndbufzo7n/EuIltGvDC2L7a2/9/ZMeBlNqvjOQO145sq2PfPzs7kD/q0myg4
iLujNPpHtmHrQ2dnGPzAAekYjqBT/LurI13kNNSpmtZw43phlmnGg56069lDvLqr28zrN04j9PdO
E9GTSHx5XMoqOmkyJbuX8x8ArzCua92t9jkYMHWmFCRGUK8/eU1J9ZA0RKTWeu8HRpLNt0alDd8z
ScbSnMTFi20yS2uA6Qbc6xG4DjuZw8oUYyhbtnuwE+W070ttVZMP93Gohvk3pp6/ei0croBt0zo6
XAau6d8MbxnFGo1q0xwpNec7mDb+npqFzVXfq8/F+/7pFrn7o2v+2aX1V6fFH6+HzQJ7B4N9EgCU
ZeGn9bKpgbKJ87w5AqQFPBwX74rSEaQR1+DXr/RXP9jlldAOGYC76NwN01Kf/KdXWvHrQYp3C3BI
9H6slYg1XBxt71lR+jiahb2HGRr9xrryHz6ewM7AvMBB6adf4No/vWimm0TOUH0eB5fn4UZTCR+d
znozHHCJLZtff8T/9GoOEw6sp56NA+3DxYxRBKZVmRVHg2lXfq5kue5mF/XiLQTqp1+/1kfYnLpT
fMGvlSQGfJl/s4CiCCySMtfTY5vMBUiYhF4+bFtAqB76QEbryXw70M5fT8hWDiRd9w30Vrf7x58Z
Q5AHQF5nIiR4qPz1ay0MVEPlQMXYDrlyEnZLF7pxFD35bkOCzq8/9N/vIQclBEe1xzjStj9OfiSN
soXnNDs2xrre157swl7jF9wQJ5Ucly4F7yIqP/d+87p//2IdXQA3pFF2GYnpH/ZQqO+mNHabTIFT
R4pyvs3JGtD2V+mQ/bPXumzeIA4wR+PrNfSPOy8sDxMbVD89pvTzpNvgtdk0ulyu4mWynn99PT88
b//Y8hlkq5GpoKPP/fDlZWVPj0LtdlyXdTIuaspTkVqjEf76dT6OxS7bRLgSvstDhtvV/OtNMrhF
J5FqpcdId8aMaoZ+giVzBa1ltJzHJEU5ynasr7EmMECKMDfFyfnX7+HDvaM+K4wpHnSGi5YHd9Nf
3wPNWZ62Ts97GDtQD8bYMm9YtfgcWQto29ijnXWt5TfP8w8ev8siFb83HxwtH2foR8/XGLtUd5FI
2aFH1ieZueXJtezlpoGwsJdWU6FX1+oZ+9oyxyKIJvSmx8mt5m8g2Fr5tUFMccqjikQpRcPA8MZ/
rJl2/+ur85/eJ2IjSgOopvjXPwI72KpEE/Y+7aBbwn1flsGWwdgWtFlR4U4uqAdaMNQQmiAivp7y
sz6aC4ueKoqOQ17bVyShRkdC9KwbX3M7sXPHpM4ILvXF7/CTf79rleHV0j1mrfSKH9+q7lcMAoop
PZa+vuREJHpzTu/S9dtfX5MPv3ruGE/nGcPDjfA1fiAfHuepZnJRtC491iBV74E/owau8tq5gj7h
PP76tT4+zi8vJoRncjoCe/U/ekEXr3M6PAA8zmuZh7EXjSEQoyEgui2HKdWwUZqn5crAU/2qlRUc
6drp9797Exd/8s+zdZWdCbhF8X35or2PA+yCQATMdmZ0EMMkl6MoTB6mvT9bzTEemvUegIn+7iRR
GqTpAOedlR+A05Sln7dBmAmBM8Zs5w/DcocMyBw2XZs1EvFvT0i2mZfruUg6IIVpaz6shRX9GMk4
e/GWYj1jYUXp6rfSfYQ4lYM2I/pgRE/dbLpyMh+cIXcf3aTRDxg8jOsEwOcQ6k2qPbFVW++XOLKG
TcHA6baUev9WRIv+vmqUceBmaJL9uYp+4DZzmlNVtqxLYehGBzIW7Y5RaTIkSMelqhFqQrM3iH6w
yxBT/RU4pPU8ATFsNzNpCVrQkTD+oxh7GyR6T2jbtoPoeo4tftk2zoPQkGMKzp6Hd93Fzg8my56J
S5GykXZM91DwoCAednri2vvJ1imGiJfAuCsGc4v+VLwC+pXeA+o87jd+/XG+y2ufl28aqd17Zsez
k3xh8boSABfOuR+fhfq3HY0uqZqORSxzOnXg6dJCe/JrazlzzgAYb5fp9nJ5I3fqt2aV6PeN1Sb5
qYadnxwjIyYawNTL5JwTKTxs2zXJmDRfnlaDAVu5X3lCIVDQvhDFwB1Z67OhB0VhrAccJ1y7Bb9f
F0hdT7ATpPanQeoAiM0YWYRKlFYsMv4O+Pjk7PZk5pFCl75L3Z+ggEsJHN1fcWBtcEs7j4Q1Ws9e
NUo86ybXtrTM9B1xk7kzYNO9MWZCJ86PBqR+lJbrvTMx6Ar6XKImH9v5FiPfmITCNtIvhdvzaCIQ
7cVYdELuLXUflsQ1n7wBVl2wJMj1w3XGBxsaZb3uqhHpyUaU/XpmBVpEm4jWC3VXN673paOxOFL5
7+GQdKz6Mz4AU+BsWgkI5wbbEubXvGEP1dm1eNy9Tm7jZ4kgcR6GhI6BLDjtyUVQqHI97eUca0V2
yr1i66OeIwTRnm9BM7S7PmPaH09rvUWa5gSLVsv7GC7RUfdkdcXyxA4ARSJCQI6gYOTracBzdUC7
Ez3FvdjWYJnfWrfKz0Q05AG5y+KWmIQ9KRqgjRA4Kteo9YoWbto0drnX6wW2ZD5Yoa7NK0NH0www
WsmdP2PZJbq7yAOuqvnip+MtZIzllBn+LkmAOILhrE/s69i2aIRI5uXkb9qSj1XkngySPC9AzPcw
7zubtZdjv0p2TmfiP2/l3HubcbTmcITkHXDgWDunTZ/dyCVjvWvMqwInCYEmTtD0bORzv9QD5OiK
bInQ3G+Qq6V+8tAlyzsJ2JiD8EFlWmmFGDDZMjBzOmq697lVAXvAjZoCj7LHqTY05pfSIrfE8ozN
aKIlcWHVw9p+Gsfoqq5E/LkHCIViYZlPSVHyALZVjVSay42bWtaZHMf23kiL7qSNDhqV1b3ORbt4
zcYmSIboUPUQibvv8CwJ4SI5Be8RUS+tsqVkJ6O2Qb9HWiyuB6fgDdUF6WTMe8312VltazdPRTQg
3zP9q94w2lsKJTsJJ1ctzoRePEtSzZ8ZWU6PS+1QP9Rd48VKoLScc7FaKnNc7FD0et+ykoDquXDn
I8Pikhelij7LWH/wsKc+iGlZttY6DFt1/sBgrJsxCdKmLe9QU6wkBTltQRAJO+GNmddRIBdqkdxj
WZVXbhe4ukh5FFUYXW1yuTYi9gXgfFofAEx5WFLm7fxVZ9Y1jYx0ZWOWt53ev4hibUODRduN3a5e
FsTE/0LTd0kE37HThP7YdPkOKZFzpw9zt3PFEH/qs3i6soY57NNoOmXTgCLVBIzwxcpmgoucyuzS
YOQ5eYQVk5xAD5KBak5ed1jHkhszo3agRSi0+2KRYlsu8nNFkugOM/34OtiV96O3Z5S+bmWYT2bp
iE/ztPrrnugYjTTPCZJqPVCPVXN7aNbVv5m11lXknSWw6roJtL4VBzpo/+DPholeDETL98b0vG0z
Zcup7a2zKG397EdyQmXtG9fMkStKmEqQQ1r490XURoxXrcii+c8SmzGFNJ60VGP60Bf+iS/Vf5wd
ILwcwqBg8TrbX2dEnfeCzN/j3FYdTv3WxOnNLQDkE2twFDv7SWjFzoX+h9g3tZ9hK9R3cd8RTxIZ
2THKWvPMFUxDi5z5doyM/UgoCQSv6uwyPgii0jfv4rZwDkz3rWs/JpKXlCjnMXJaIwRNgZtCX5td
gfX1bej5SDxo2mDsWPIFWB8l/rHI8fbJWBGDUU2shuIuIo9en62bQffqW32NKPt9q8aB1WFN2y65
VtsYR0jQweUnXp3cZYhTt/EVCEmP8KDILo6L5i/fe9rx696ahvve1nCiE1nESp19Nme67U8Y+urR
uaFjB5QGJYwGwKhPhbH0/Lr65jxlZXHXuE5/i6t5Plhtl/hB6ntE7KzyOHmVtkFo4F3V7RydswFa
mR2P5XtesT3ZosNrP9mx0+5cN8t/wDlIkZULVrIEoTJLygr5IrrmS8mf3sq2Zn3gO6vJEiFaxzdE
6Bk5vlqnHeNmoJb1DB2MelI5IWEpw5URkWyBVm/LN55u89L8Oml+A9qsiZD8+la3reJ4ObO+q99R
Do2ndc7YdvicgQxg1/3ioH9n8dbfGfrYvWcy55ndFpwaPAQkrqpgtEWbO8+9PlSi+wpu27M3ul3N
yY9EIwO4TxFI8sPuMYJZvfajdZPqPDuNeZNOzvCsxdH4bsvUe43Jo6k2Kmy6IMVl9Rh8O0tZCNLr
qrI6aK69nNi3+vG2dMdPS492T8/LNtS8kYjsrFWbyyk3AqooBA/mIsIeM21gYXeD2FzMFu+qnw92
lelnko4KmLoTZwarrIWsgGEg5oyHUzJAdmnngxEpajIusyHsbbPmcbas8aNnZeYSzI4JBNqfOUYM
pkPcl0zlg7hbtSfkXPrOx0+ybTgU9pbe9KcGWejXht5IbUeKsNJKrgIWrS8RdKZCTZT0cyIas8Ka
J+eDq1vRy+KY1ptmNtoPE+nHdeQRWOtUaxYYNX92tmf/2ahSdKeDI79EDQFJrDAQ9XfpM4VxtO0j
V4c62z641kvMznazrDxeoyLipipfdCxGG93THsRITlAmKsT9wttBp4OUUYEexZVRbmaKk1AIojiM
SmJto8eGCGrXgT+n73lhosrS6JPxUBNgtrjxAUqfiWNg+t4TZLynl7eDlqXBLoeyHuSlezI7xK5G
OhqQOIadF/txAPVVC0XE7QxfybhanHI/rAZAbv5wUg/e3lzafFOWS7EnHGd+bF0zCczBi89ZNQLm
Z82ANK3auONonjAx6tuOadYplUtx8HXGA+Y8Aqdu5LBvkl5/z3v4vPT4nDoUQieStW0S7NN2h0O7
u9b7ObsGGLbP3ZhqnoKLtJjZhWA4307IkjaJPbsHR7ZJoJejR2vShIQAgC6hFLybjU5nk5YBBOyJ
VZVYfButXveGm6qoeP+LXLRyB07AveobZgcriw9Szu8HS3tLXXtXR2Sd6YN/A5DkVGrt61Sut0Me
nSCzPjcyOvPIZWCElvbKleuPrI1fDN9/EGa1b6imgyor3nw9BaBIVtdG9P47bJwuWKUCHBIS+VwX
Kaib2nyffYPCSot5yCfmsXBlH2Id2mVDgwJBkNwVu1+BHWEBL5lqbxyNjoBsseHTaq1f5zE9unit
2f0W6RTgv4k/6fAJ142UXo6Zht3Xgj0/rVNrb6xbIjc+zyNaWsxW1077rHvjgDAIhEHSpY8YEpKD
mBDdynYcPmumxBU6IbQa6WGusRJqB1QF6me+6HjqUvHZ7eyKhVLremGXTPKYti7j0Qm3ZYDVL5n3
NSzlrY5GwYbKixewHx1N7pIScpfp+t90l+3ZSWsKBjq4ODtP35ujOVlXbL+7LtsQTDPfFaZUf89s
8+wNBr07MbhQmQ4xVGSf9XvO+peppg3eRM8KotA6AJObnHroICxQJzcw1UQadlqdEWDlMzR1u4mW
M/dJkBvM6NVD10iqGXbpDa/KisFBAyEpRWikQqKfaItibvshrHm8MGdSO42lHqLXIaZBiLSWHqMm
Fwcf8nzTcsa9kPi5nDWbiDqTpBDyKlpXv8k0Jx23vb/QdgyCx9LUZTjfDdWdGOk8fs9Wc7rN3MW4
1o18JdJN5qckn6LXGKmpE8a2MB6Mzum3roOkk3kXwjhgEq5z7pNRtbx+Xy9B4jTdp7YaKR1gyOn7
xrDkkdqeP625FTFWNQ0661kkdkjT6a8mt/+C790MU0n5t7GT5s6Ra5ADUMcFzbpz5cg/mnnHQdpZ
0clKHIYCgFHP3iCYEahNzeX1xsbWtgvKkSN+fHY2eQGLHw7K58v/xfdKss9d2v5akDsIa249mFbe
vHVlTw82S5MpgWdNt9NK2YNhX+161sp99HMuJqxUBwRS3+4ug+KmIEXJnMlfGnLmxgUudX2Twn/a
az5vEZ5PfnJXADdu6XSfaphGRzPFNYTUaV5R5QFxc9KC4KZB51uvcp33PM3yKJ1qvstJvtqtWqIf
1nxYz3OzLH0w4yw92iWz8Mah7WtHAiTxDWTtnlJNOcuHQshwzKMp36QrUxGGlzwMBoTxkQ4GF8OW
0x7zCHgb9z8BhKBF4uaN4R9IqzxjouitV77Ei70xCr9nJAN2NwFHs9a7Pp8m+7poe/3GQRByVWcr
G7LVYXgVrfnpct9pyPN3Y8Y3YK198VLIYr1PAEjQJs1QXjgaiHnQWB4zFKHNui8GdU2KgS0bJqF7
vqv5poYncHIZUgY2SXxnEzrAvlajuG6o1rNYIqj+xeSFNYGNO9fmDuhtRaDxR/UHi8x9jAFzbP0E
vzcUV+b5As/tXAn9c6nzT1AgyKOo1P9a91wtw525YQ1LLGey7Lh3VoJ0QpKR9M8JKdJZCBbA36cd
932iUV4bgjkryes0/AZpEj9WUGxXY8bdZK380WzW6jdGiZUVcpyPz4RyGde+MUWnMYnqN2xl850y
oDTgSvgJ29bAbnLqo1PUGPVbLjpEYe2skXfTjYWOaqCIjAeaAz5hhUR0IHgBX2DgoV3Yo+Q2r+lb
5KfeV5e31Iv8RADaegZKZj5MeZ9RafHGzS5PvpVr2UAuSnnpeejGU9Ev0bFn5IqXkDzQt3WBLa8z
kcPQhwxRpvkVD9/3wenGIDFSWo+++VpBtgx8lnn7bpQwsHq+nb6P+LHP/AKjYfGZWJDU2sux38bY
o88WI/BzU47RqwQb4+BbX42rIjaN28pyo5NTKBRET+fjhBWPw72OWajDes9X7Ki7YGoYzTmNw0gB
P88Y5B7ivs3kD9wlWM3fAVs1b6witRqNSMNvupZOFJLH5qIA5Pno21yp2I21p5WG4IeIGj4wLhzu
Qakv3HlOE5FPSn4cdcCyHjSIF6HwBG2f5ybjd8+lT4bgYcyfcQ3OX+bRYwvVUZBLRqlNjDENr8fG
bLL22ujG6iaZ+uEp1SfvWzPa0Y+0nlEPO9CpNvHEyWRj7dwtjljgS2D3PI5+G71mruNUm04SwxCK
mgF3iCm/Xv4YP/9Xv/47/TqO6l/q189vafX9L+L1P/7FnyIHF2ivcosB52U/wP3H/uBP+bow/oU2
m3UM62hB3crE/9/kXvEv2/EY9AtSfDzL1JFa/NvEhvzBUWh11sg+CwHkD/8Ajf5xqcA2gYaZv8Mu
CvW6q5YbP22kF98i4mdRCoJoC0fOWc4A+389xv/7Syg/uwMgWG2+UVL89SVYIani0F/JSbc2+UpQ
5lJtPJdL+j+egd8rB9gY/vVV1Lv46YNgup5nGEbrQVRfOu1LPX/vnd9IBn73QT6sJ0Va27TuvMSw
3gv9fknDdn3/9aeARKv+ys8rD89D02qz5DG5M3CxfbhcHT7ADDyrPDhaJb+SZKlPWx4IJomNvLRD
fN4DYHSensXAEd3pw27urHmLFd7Ygzuc9mkj5YuZrBYIlbXLQtmLe9MpRyekFp2ufemmdAdkPFr9
jBVsjKJHNHBUX6IcMgz6jNJEJrKrzh0Zr9cMCzzS/Tyvw+1tjIchkwHSZGiIHGhumGsiOYNmWTZ5
O9QbN5U1DcVAOaAX4krHbcB+iGSaTeIsyVlvNZfnN7jJVWcwmmjOeIVrcZg3+dwXIZL34Xrwy/U5
7fmvSZOYACjbr65ZCnaNJXQtrR3DTqzgz83u2s7N/nmuFvt+AsQPUUYU2xpkC2UO8SXFYNi7LseG
KebGOHt0+NvMsmcylefxwRI9f4QD4VqshO3Wq2cuzDs74xxhYz+QLM2JVg/JfZSN01e/L5f7keRO
er1oFgFUTF4vXb9PlRt9ThqUHGHJsuCZ5aRjhdNqfJdyVkm0nd3/0Fp7TgIQbv2Lb6Zeggyjt+9H
hO2BUBcYFce5pk3vN+xl8EcvjossOOqviZGyerTAcbnFoC0AWnZGzsimFygQM40gW/t736FKnJZ+
+Jat87O9mt99krNeZ5O4F3vQ0s99TgKSvjD4xVLYGnuAUt9VRexvkqldD1mL0j9juTfTNqw9ZlD+
XjnzPrJZ5KfSd7oXyMEigHgjrkpvSDiRp2hrwTXeDygSiYgxs2NcWWPoy0buUFXre+TsBK87LqF1
frREBL4D/wrWwotPEOHMA80UL2CubtC2Wb8HBpUfMicbH4EmDI89cSf0mn7HjeGlzn0BcXKjw7I6
sda2kb/XwxbamX3r+VxOUJ5GFJbMckOYFeKmn/wsO2asaXZNAUofYgMc4mCQVEPI4WOWc6n+mFXg
nzdY+p1beDfZPoljfW+Ab3iPQAoT5mVq0Y05+cyY84SVltI6D3hCI/t2SaQZLvECWJIE0tPSyBYc
nmpuynU8un7j3kWape2R5lp3wijja3BkL1HZUh+hnUaA6ow62xcGEMdW9giWhxnvJ1kR0XvPBhIf
xwQRydIGSF2sg37YoON+MN7qg4444itJAt17AqtjGw//j70z2ZEUWbf1q1zdOUeAGQYM7sRb3KPv
M3OCIjv6vufpz0fsfbYyPVwRqjO+gyqpSplhARiG2f+v9a1KGqslrnOrNaCWfBIWuB8++UAb8NI/
U3o1eFX7MSX9l16l0RiTlzmueQmNRj5ydpi3/uRAXQO2aewdO6/3FsaAL47p90jxrfBOzyrd6wmu
URvZjWzr7ainUEuV84eREM5VZV123YlxeK2FyK/yLnBvEOuLRw4B9JQwNGjEzhrWxUA66i3G3Bm+
Ve0Q/V7nrwBgh7t6grA2xmF7PTaVujRGttOQJqyLpOQUZmBPXBP1oh5KZOSbFnGIxw7b6Ul5Nhmg
gsS1JMX77V0NPShfEf2e2KscjP6G/n+B52fQf8tItdkqBFjxUJGCAQtBNZ7RswglWgYxzEeKOyrX
2pUQGvdtAa5u05RRs+Grghhal9VFOig062FRhY8zO75gFfQonXlpQrWJXUI8aCnOR37b4NE0ivk4
JVN1Qe8AdJVF4vg6Vrkeo/GNAaKwY9ihGVZ0BAP3YDUuZyTOEttSX7xHYULwca4Ec4IqIcdcV2+3
+lTXh3+dKsPKmXZIcLUt0BKwhKaeuuveb7kPYzGPK5NT0i05sNX3oWpblrE+uUsLScE71qc1eNzq
WxS587aAc+u12AF+kfox70xUJxdvZ6ahiFISjxFZ4OAvjO9YVGg4puzdfzeg6Z6nZqR5a+gceJcj
lpkri6Q6zkaoRjKKUZa9nIJRNDYOde3eSdiOModn7i58bEnWO52ZZUh6f1RWqML0627Car0S6VJY
S9rmxR7bZsPelz8qawFvAi/J1dtx3mwC856qMFtfGRbPfZRl+9bt8j0nch8uhaHjb1sSr4iVXuvj
stkvulccge0BUroDL6KLrY3jJ7qHmD5h8az7a5eiM6fVECs0HMPoCi91zyGtDdwV3bLRK6jtm4RU
G+KA+B5XOqWn7Ei2HmcBu1Btt9TIZ68Fu0Y1Z1Sz50aUCgz8Ol/eOrWRXCozb3JOq3TyvT0oDi9z
2TEsmAD/OM5OszJqDrSon7XHMlJIurSRR+8IMmAKmzJIl4rw59uJMFlOq1mtrAufzDoOKQ0yxipA
0F/5mrNnN1ofgJ0kz4OL0SnPK+oQldK2lgTY4rRUFoK3+tHysWtcOiDagmIfFNUeYXB0KlzaMSE1
pVtRTxKoKehKwgDmI4r65Dgzo9eIuIgKk3r+K+YbfqDv2zw2iZqfmUjBLeHxwU0bd+5DHtPGURLx
aFSX+d6phfrSsiFtV11k+pfpkAfTv05+pq+Nt22bzHezpve/IMpoTxmR71Rw2tjYOJr693NK2tH/
Pen8sqMUw06XC61zERgEpEnd4gShswCfa6tZY/Q17xrnzoW/DZu3s15EN8mXvtbkS2yV0zVfKrUL
q1DbTFEEHKaU1BB9v7gCZl3fA7nMtyakU2gyYrx+u+utRWe+aBznxkx0EHZ5wYeviS+smh5qVRAO
k3d4dQom4m60Cv3CpoeyJbqhPWRTK7ZllRmUi3TJS2y707HjHH0DIDo40PKn7fI2l2fHQOWjScBz
nDcuZvB+13aT+1vaGMHakBh7Vpz7khu9irODorL8xfXxZ7U+0rqVE/ExxAbA458RLCdNQcUBmwpG
K4h5a4RKIUugsZQlkDwk03jNojAdzNLPb+x6njfQ9zoo0SgKnnW0PdYKdkK8nQkBo+gG/z0lTHHV
JXZ8I5IQk4Og+CWxq18gPMASaQ/UFetyvKnshk+3HWKFtQFVIuqdMxs+jVH70coxQgI0cEwc3Jo2
JbCnhgZYm+bgw+28eOxQou06Fhz2QDSELnD8tjcVZUPKnqpHFU0BZxqM8lihIdkh94X5XCW59tjo
OidsDEjsmCVZpGlPFVAPGl7N1ipjDIGLNtPpKyr+ZU8VgtTs54Uqvc1KKlPCjYzvb2IImdHglsOg
f59chwIK+dJAzeWiGaJrvIW+Y9LlQu9TJ7Z9VIOctk471UQ7mpRKxNQjlMlchRmi7VHyrPJGzHe6
oh2y0kRK7cjnPx6lVkHzABvUX3atRgYhf/Q2FhhYVkSr+F5jxHIfQVE/4ERR+6ECP8gV3djhaK4p
foTXxhyZzbqLsgdzTOotvet8O5fk3LdW0dZQDSfz25RPTsy3oXoQvUAsl0TaBR2z2w5z76rAConZ
RfvlVIDcDZl/ER2tsDSe/EsuI9nAN2TltIKm3jlOPWwLyjB736dvlLMvuUD8UyMPq3QM9R3cBbqx
kDDD6dakFrFOGpX9sHPtBzW/m9FsxM4ch2zZt1UHjELmyp6jx6EI53XtaAHx5dWeG9GvEaTmm4A+
Pn0w54uWo3onG6qgO9dU8NCHJcJW0HDQnZYeu1XKbWqXXC+mNMmuylSSFZsWYelflRBa1wmE2K2K
UpSdheg70qHi8FvQ9ZaXEKQFf7cb++3ozMVDiS4eWF6AIGqVmeFFGKvyNs+T8osWJPmKr3qGTaik
GdfbKMQMZDKb1CmTQ9dP89GM3GQv07DzNHhMNAaDSt5Kp55v40DVDyUxjFsUADb9v7HONmpWajva
tb/26zDcp+4c7/oq4Uiup9EREzIkRKOtvrv1nF0Yriao66aWC8a0CMRAi6gbk+Siyb+zvTe+jip3
rgy3a/V1bVrFXV/FpIOZRTfc+jMoZ0j47j7WwmbXOkgizCzT0cjgwMOwVPMUNxixvoNwqYZ1T9Lq
jTTa+C632mLXYYn4qmr2V1iGQ/N6ctwWImRoH2Gj5y9EgOj+ikx48awvX0hlZCUlbycEMpZ3F2Hk
yKswa9oXbLaWN7bVcEytoL8YtCn50coYqUEIzHgFSc+/7e0y+5k1ZNqClJGvNFMKPHZYpI8G2VaX
dUs5XeEXoNjZ55KzbkPA1qS18knkdralv29Qx8bgdl1o06+kt50vZmHnNPVnZx0E6bxDrBWv4x5O
Fnu8mVZKmNGx7bSRaLipZiWL09iLyz5dwV3Webx8bY8TpwpkpGImcgwaYwMNA0/Zo5bSl8rbahWw
yq8o3JAC4tK3SozypRax2CSKui5dY7vC28rOeF+4Knsskqy4bOfUPNQ1HVz28xn6CKx6Sel0miea
Qcs8jktK+zW1KYqRAdae0SnnudWqHIQwTU1OMcPK1CKgNkJrL/koprdsFePX0RDFU1wl1ZeyK0d7
X2pY2laRD4oYu7HlW6skYUsjtTa/k8IY8vVbjTKplQmEuR7iY292v4LBoYdHeecS9H9+IdjZ/shL
mPoTYdEbpSXXc9FjVG6Elu5bJEdrukLFJfx5Mi7xrrXXdPGD65jN0CqWadxsHceqEPwo9Gl1bN7z
/v8kOQbXJd80d9VhwqNb2s5Ht2i62wQzxUZiLnge60bw4SIezsgz/64hi+O70MpvMm6Gb6iiHuYO
PdcOqlC/ASNu7ONqZmUvNbHmVUsfCCyEW4A+rL639LTJ1r5CxhN2+g5oW0d9OJRYQAu5D0NlX5qJ
osia1B3pa+D9vTg2g++UoBt6pnqxgkGM7z4Y7UeOOnxPUCh+8zNb35SB+yJHOVzopWHu+Skmovmq
fZCR/GmnTn3TF+2Eq8Xvd32C+IX7NsVXrjsP+762uWNQ6PZwB8aa+go3hfSJF7sP5WPUF5jou4Xt
VgMyHHL2VFOo3J2lWXv4J+YtZ5BnFuTkZixndayQmK3aoVXbMs3912Ih06YUxj2N4ItrBfYfv6HG
Kcas2d2CioAZ2A/5fY5Znh2udpdlWXtonSm78yNN3dqVHgA/UOa1EfbitxEQk1vEQ7mtuyg4+qQ3
3+TWGF6mVmI9yBJpE0rGmYDur3GOUz5MoLKy3G77UuBGbkedmJlOETuMqrhok2I/YV99aFlxV92I
P9Z1e31fp91j0M1wc21dkUNRTHuYy99CN7e9OAj5YrERPLKQal4m3P6SrZx9HCSijSaoEva/Rf4b
rksfbdK2/C4Q/35tnLZDBRCgNP1e6HGsg2Dt/AvI4PGGagmg3qAxHztTG6e15sIkuY7SOjDXRV5V
40rURWntqnycOZqFNe31qU4f8ww0UWZN7j6MFjU/JaxHZJC/xhGRoU5CH/1oUR/1efhhW5warBQA
JpsqDkkVioLZoH2WRa6xRHV7GsIUgFqORT6wes5Q1KylT0Y4u8J0Q7njR2NGdHL1yUfmwPcVoJfX
jerV5ggCQ//SqvU79lCKyhllIq1zjB/STYcLWVhiqypBISUhbjvwDYDxmv87VMK6JenSvGtG93c1
Svg9vHpPJoCtcGM1RUV/rB79TeMY9krLrWKvu2MHeaHKNwRa9isHUfInRoX3VVAMfLalcPO5hmOe
+ngUPvu81xxg/JL6Xa9RjIvKgjlZ7TmPZ58ozd9Vdp1lNLL1dAcXIlF5fxeP7dEa2SfZtTcVAU1a
dNLAw6FxQ6BKNx9XeM8Nhd0M5rxlwuE4VbTrjSopPxpcWOgEj2Ms+WTEvXGlt33yiXXn1GLicFVQ
0HAwYuBhxJN6tZFY+pQKhsprAGVJSi6NqmO2nExeQKFjtic4ePqnRXIGNQ1hCOpwAGlOB7UinyjT
Imo8QmaslYkWbaVqSnacSeUn13dq41mujxeaFoaNXVCqE0NEwuI/l6VWe9kUCiJGwK6zuDnxITGp
aKaUP27LyaCCmM7hVZeO4yfjL7Pi70o94wtB/wZMLz2ak1kzBbIM9SRoPCfTKMDDr16panj6eL4s
F3E6CDRD3Vl8bTptgb+n5mjwuWhds/baltKtPYTsIgJb+Nepqc/ePIGV7TvCvouaTfLHQ5+bPwLO
MFbbf6U7/j20a8nRCIARLkWSCQ2aBXYvXgrBtqan1QqtjUVmXetvPx723KtPPh97c54sFnhaX392
ckTjqsKOGBbsYXo0sv6JjKXZCxSz1rWZvx8Pd+6FxCiMt4ZIMQev8d/DBXWlG+iBGA60+GNlVnsO
/8Am4Ch+ssq8M9UsExbqlCk5gbPQ6CeeL3ee//0s1dwNP5q3uTn53U9Qe+NKIysCvwR6F+XM+mvo
L8WkgVL8x5d7btICiVa2kgIP6ruXxhbtjBcAsr0dyDsLHshVGbDEfjzKuZvKI1zaV8SqvHPXSjwp
ncxYet5WARK7aEW407gyZFx+8vzOXZBcIjHhBgpajMuv8kfjLxm7HI4TqP5hqODSDMU35RSfRI5+
NsbJShpZZOvyoa49RNRXs6r30sk+c7wtD//0RWf+AUBiKlqQTf++DteNnaE229or2bteBZ1uHk1i
qNdzP0RfQo0VBomSvgSwQ6khB+WAge+zFe39q0e4KZYrNIu6S+niZEWTMPrFEpzoBcS9EOLSqjUB
79VlqsUof+Avbj6eJu/vK+PZhJmyj8KLffruVRyrnAnTj5cRangh1XQHHMn+ZCvxfi4KeugWLn4I
mghlT15wIoHauU5SAKRtALiqLKI1noJLO6aX8fHlnBmJi3AsG9AHvib7ZJq4TRTN0+QUHksbqiWt
uRCT/VjW8fPH45x5TIYtTd3gWbFyLTnAf055VWaJcGu78OZI39bpq+akwMbzRXB1/Hik9wQ5B1zd
H0OdfGOpUYGLVAzV9S6F+1wGq2ywW+yxbo8lq8/npwkI/B50n19vKkl1X6/RpCiOrNt2NtttTPd3
bzaU0bJaUADPJIIvy4lLKGwjQvMhnK980qnuZZULxKJ0izhXtdvUbOP2aPfpeD0UHRXsCd/umjIb
wCYVzZ9cqDTevX58wenr6bwApIYuko8/72mazppw84572oTtCzx5/dronftJqeg1mzv7SDgW/dMU
JRJe952dTNRMRnVQ+IIii86sUZUJYuKnzOdg1KoQmX92Xw7OFRltwFCLpNo2iMRXVSRs7GWxQIc5
FGi0etM+arHWrUdZSI/e9rBpWzx6jBNvKOHZl4lEyxAnQFhG1uuNGwzr2YaqKVlgXO6WCQLHnRv9
u70Iuz6eAWfmGkEc8P6Ji3bY8p/MNT/rK3YfE/cl1prL3nDFgac+ekFcI5IffTF4Hw/4fsMjxBJJ
beHggeBxuuHBkwBCvcwKz3VaqF9RkW0r4DCXSpTt3neC9jKk9PoIvS34JBHzzOvLbk5faJGoSd6d
OeoAdGnYqRz34DR96dVgfIMWbjxiVI9//eOLRODBakStg39Ot470RTlvTl3uZX1NVwRDR025lvQE
rCb1gWSPyFk3NNgJtjcp2n88+JnrZF8lSMJG88YO+mSq20kAG6HIc1LgiHiqhvwxWLzepJrV/3gb
QJgs7xMGXo5XZC///VJRA2oCjKOph+XoZZryYWM6Y8dbJMQ/nqZsNxBMIYzi9PHOL15CUeyCvkvR
FXTDZlYUXkV8MwyW2lF4+vlPb6DUBRdmGhICg3X62QqitMxlWnFZ5Ih62Hnzgh4iPZ0mFclnRIv3
LyCDsbVha2DR0D79fFVoQ0LVZVyZJh9Dob1gT/sZj+IRQeAne5DlXf57C8JQHEsVl8aaf5oWTbwj
/H0NIQa2xK2gVuoWVrqy036GnIebJ4VT/vGdPD8i/B9kbMtLd/p5kaXtYEhOvMroj4QgvRaT8Sjq
pELtq1JYmeYnSc3v577U2XjjKWfXwYgnM9KCtoL71k48eL/HKe09KZObSOmfDPN+Y7MMw9GQJGx2
H6cFBSK6xijiR3u9Zi6GcMBl5cgX8eO7936pZBQCgUCwmrp6Z9LHITPmhOklXi2oaFHpQVPa/bZz
dRdXLQ11Z14L0is/HvQkEN6SoE7eFg707RZkhlPeAWhvHAAhxQTXwsc+pIRsrfMyQWbu0qWfSVdd
kQiNzQDDHDG2oEHJJAVauW/HKjik9JF3A9uiebKqe4S40AXKks3Bsi2oFhMCsjj15JpAHnAEWp/8
9mcfDOAPZhyxi/L0wSBJCFM6G6lHdTrfxpMbH7WROufH9+jsLENXSUkJNPG7LWcmKz4jQZF6eWtD
SCt6T09IrLLbz3YtZ15YQuXZ27IOKc6wf6+vlp2KvKxyFqKxFAhZ/PAwKn3cfXw151YgxRYA/AKH
cu7d36PMYIvGoNMSxEM4WnqbzxQGQDT1Tfodvf4/30VzZkQmyidjYSSdnlDxviuojryiU+L/XO5d
Ham7rPZfPr6qcy/PAka2keRyMDidxmOT5MZc8PKkkeXcJpNBi823ftJsKXZ1YDk/hhTCDtXC5pNP
1bk1D62qZF9NpezdoYfSqR4K2SeEzJo3ba7hoAh2ZfxMMt4Dy/Uno52b8Bx7TCb7kg11ejeBISAh
xbrslUGZ7DNl2XeDiSvz45v5jteyLArcRNvkcySQOZ+sq25njp1Fyd1zukF/jkK92Gkojld+LPqU
3pw9PMWGU6y7ou1vqilPrq3UFnvCJqDuYmKjsUwEhFHhMcefgR6j6+LPTrfG2Ttvc8LmzYRldrrx
qf1Gt4Ys42szStoEbfVqtG6xRlXWHCLbeelGqhM2qQGXaS6i52Tom4PvFt9CFB2zWtyXQyYPVJHc
lZq0Eiwu1/HxjTzzrtHTZgtq22Q3sD/8+11LbX6HaGS7PeTzz3I22p1eIqb0U/Qr0+vHY525Hcab
xthaCrXsuv8ey4Q+oUvc0N7sGz91Cg6bzNJfmynNPdvNY0xaqv1kh3HmpTMMOnbsaPhivdti93U6
jXVQcHmx9SWMAmgcqHboYxBMJ3BnPlX1UG1QY/TeP79WGGXuUpFig3i6UkpCJaLaaQqPs9o1Hr+a
qnR6RzU+wNkaPJOdF3yytTn3JNmyUQYwyTlgKTu5u4puYyOrwtP0gDRMo0eVkIv2bgB64GWKg/TH
V3jmm8MFsocSfNjYLJ68gZlfyzAquLVjH9C5kDVRn1VRbQSK2P/NUC7ud0exYQTX9fellbaM2izn
iGa4RX4LdBm3pt2qi6gzjE+Wr3NzVPBCLT6EpdJ/Mkd7JHH5TGXAa7LuEarHL8uqHtOG5xcF1Z2D
qf0fH45YwDBdmJZh0j45fQGNkV6b2cy5N5szGj97uK+7elNSB/hkoDMLsyEpNsA3Yhtiusvz/KNu
Wc649XSfI2AaWC/BOO6duXr8ZEoIfsbJhv6vMU7mhEtMWSwlYyDoN1YQXMsjiBrr3uwUEJl0aLiL
JJ1aQ11CG4uDp2Ko4dxa9Go7EK4U/zrUkHlEp1eSb6eRDgKwATd0JNr6SEZLeGe6AVzXCYeWX+r5
PiPKnghxZ1ojgyWpy3JoUugjZkVjoRlBtTXuZzdDbJUb8DSKrKn3el/57htw7AZwK7vDYjGHwwW/
CUc73Bt1Mx1SDKPXvQizq16re89J3EfSU5s1dzjZZdSK6lWIUNBDnJitimEut34XWoiFk+GykCKC
chR3u49v77m5yVfcNpgnYqGU/v0EQZ9U7aSYm8iEX6uxfSXb+UYKbSeyAlMttPKPxzv3hrPnZrNH
+Z6G0Ml4VjjllQim3APdvdScrgczOQxt/snm9X1bbSGe0thib0KZzj0ZBuBIKOrRzT1E5HdlGdVo
Bp0fVfJEE/oKQcq6s8xvQZ1/cmQS58elSssd5XB9uiFzSzBY5WBREymm+Us46riEaqndYXTR0y2a
Gc44lZXBI0j6apMSTkFzO2chr8z+YKHyt+JBOwi903ZGK/O1jzCUCVfu6XfSwXbj75YBkHwggncN
kibYuK2hqL3Y84bU+AczwcfvzFa1wvkoiQ2csefF/D6gH8pfeD6M2/gNZj1iwcPRxf8nEXgdNm28
tWEXPFfC+uxRnHviCgAtlFvKDMJYbtkfawQpQ1aWJ33uARCb6C6tpkHfJwaxmB/PrHNr0R/jnG6M
+rLP0gLsledYCzmZesOaaI/tx4Oc+yAqaH30Fei3QSX9+2L0yiyLCmyTR9PJWU+LZVGHM59A4A+b
6RPT2dnBqFdyZnFxt51ue1XNYpSnvCtaqAgTAZwA7WeHAhQtdRt9cvvOLQSKsj9fCyx77za/6TQJ
FaOi8uq4vgOIptaQUl6KtP7VRmgWQvXJnTTOzYul580BFgmBfdqnmZsy5f6yT4uJ38LlZRpHZ66H
g0ktflMILfRkWeH4Ll1xH+l+6E0BpoagiPIrJ3CSnVvI6cnGEoQ9ww9AVn38pM/+eiyIlJGo37qn
C+Mw+o2WhGxzhqr8JdzgOTT7h1SgI/lfjGM7nBQ5/i6Wub9nVNNrU1iix/M4iZZUc9rXfNKGTdHV
n3xIz21bF7QtJZblX/bJeygGFwcH2kuvxTMSNkhch/yuLizA8MZNWlSPWep+Uqg4N4H/GPJ0wxrP
MkWjp2ceuUF7Yht+uTJF3K6OddF/cuYQ5+bvAuKmFg1um1rS3/exXcIN5tHOWGbM6Vsblr9hAqo1
KBxnTfk2WC98AEKB9HwbVYvXQDMWZWaN6A+00YukqPLiV1CtOhPHAq42fEZhWz8Eswv+N09Twmca
Zzfag/PsWKyaAK2aJX6sGYm+WUqbhflbH0zsLPAQxlL/FhfdNVKccgvt/1fk9MMqm0S07bLJfCgR
XfOxJ63z49l07i64i1OXEgfz9rQBm6Zl0+T4E7y5nA9zOxurVpcvmMcvqJm+tNE0fDLguUe8OLMQ
ytgUW09vexkbwVSxGfKiCuZAX3Z1uXujE4gAuM6qWTTpH1/im3biZEOIYsbkAnldOGaePOlAm1K6
pGnmKRIs1+HQqQcZGv06F5N1ERZp+gwPDQ6BRDn5ZhdwQlAMWTcDp0LSt9cG0Hqf3IYz953NxmKB
Bg7PceLkoOSqyYGDIlIPdKTchvWkrvKQbeMUF81LDDyamKzw+yc34n27D6Q5uxsOP5yZ3p19g9Ga
S7/njW5mHymrCOQOQarYNX7d7GEuixUzBeWkBQaRhKT1RE8G54X8DEUszqyViy8cOQbMbBpt5t/v
no40QmVtlOFbjsGovPkaIgH6Am11bl1wZ+xDG6NGxmIFpSyliGxoGX1UeCL97SAGfTdNPriJN758
O+tf2Bbn+3BgSuGYSnaI+qw9kvxfE2Jslux+K1UcbtEKy02t5a0XKkLwxrCzN05wYRaJeEhEPt7w
2mJCm3gRXkKnc4+pbn/VgYJ9cjA/d/10wPCg20uH/rRwRLktTptWcP1pMj6AKUWLqsboJTK0cPfx
Qz83FMJrtAa40flsnGxAaDrBI18+S0BIw01ZOYubbyyToxumwcvHY709t9M3ban+Ck6vfAZPj/+5
ptJuyCIOBz0wnhUxVBNmr1kae78sehirqXFhFLp/247mcG2aWnBnthrcEpGW+zIH5/L2C/1/fMMn
+AZkeQ4rzn9QApvX9vX//HpLuLh+zX79v/979Qq+6zX/+SfB4d9/6d8EB9tasiiWxrDOcZLiAAv5
/xAcXKIEOcPT26SjRELhfwgO5A/S4WVmu3LZuv9JcBD2f7GX4HhFsVXafA3FPyE4nH5FyLlQlMkJ
vdCR0bzTruY6hvwsTAAfBIY1QzCX+SX93OkpI4QJo4P1GQZheU3+nNkMaMNi5ovFb/6+ogz2MSQx
TU3eOLLdJWMXb58aov0fD+H2Xz/vzySI09MgoyDIX7SrFkvju49jS6eur6xw9AjSjfaDOVZ3SVET
BWHLcqtrA3ngDSUukpe1+2awx6ePhycD4t1lUqY0cSES8MgzPj0Gg4yGdjPZrUcETko4LTqVXWqH
WKERSlyOZlgfiZHla4EPAoppCSRzgVBG7JQauqwPcDyNYFVA2+PQHEbQrgwsSc48JLvJTPizuL+y
bC1Sbe5XY4k5GCdxA+MGyf30m8pCci9iB5ArdiQvlHigfVtVEDet6gtu4mm/0J+jVRkYExWPirVt
RcF19vRqNB7R5JXXNQTDR1AHOCoFrIhBNeWrk2WRjs+jn36HRPPu+jztn9OOALomHvNL3wBZgDPP
MdZDYeaXoa9T/o6m8ithI/zFYYzcywZcz5YdOWmwPVDiTd+UenHgVuUZ+VY6f9dn8RV7E/Y2MB67
gV2BPe1xKibgOGMR3lg4MyjLuIjMcJHhr7Gj+q5IeyKT+sWkEbc2PDyFMmgWY0QhIhs25HLUx6Qz
qztwW/4RSc64V5WRHipkRltDtP1zDEfvuYpn9cDTMbcoYkBYm/B6OzVWP6aCJJHAZrcTDfn0hHC1
+ErMH0+mYr311ILXsAe4RKLN3UtFJKJXEVz/e8Af96TX/JVJr5sXhUHj0h8DecCzZzx2MEZf4nbI
L8eicC+zjM3Mxo0rGa9khntnpbpZR4Kcltum9NP1kPfmFiJqcl+qELcLlGswCEX9Q/r8Z5AgEFwH
cBECD3YoZhPZVUSI8To7WjvtVdSlh8Lh4ZJUOxBsFAN4awQCb5KuyBUpMaVSuYD/a8Me3WuGn9wH
SPhgrYbVNaEZFkjjoP+V6IQp5RhtqZ3pOouGUXyLxqp/pt0xX7lVz48S4bQvSY1cGSNX7A5aee0n
y8tOXvCNFug9kk6uRcnYXbVumK177ETZqg/z/hfhBtN+ikx5E0iehI94bCWJGN5k0P8y+EQd9zWB
HmanrrUmTiqGtTtCAMNa5fv3SverHzSf56t8CKcnkw/pHjAuJsS6IqqXKNGfeqyMR0Lyhg1JOaDm
NO5tE/Ac42651csUTXOQdBNRl7sZn1MA25EnIRUeEmkw/4moKr+mge0f0yb5OmhNBwe+zm4C5zfc
ROhZkZapkANyZh7CxvoGbKBaQjq758BkbmK5SqK9iStyI2X6Tfp2D/rVLolSsJiUC9FqDHlQGKrb
nV/J8qaE73zjtoN1002+8ZhHTfm1s1TxDdMas9XGHl+bfvFN4CS5iOExPIzOwm/WYrBZTj4UrwFk
KWR+YtJwZLjJ5u3inJCXoCka7X6cyrzdjFE8X1GlbV5KjuH3U9EaIK05UoDsNXCZp3G2VoMeeW1h
2viQ/THa45Im2yFVOo+JRHZ7YZBXX4wIoy/EABvfiCmq61Zh7DZfKL4aifraF/nQ/ojqTn6NcGQl
gdeLOZfILGct3yK0G7qriXR56zgEopP3eLJx58pxejKAAqwL1YX5yrBGZIPVrHbMQwviJUV54NFj
y9LU5dddAeYZZ6B7lFpy2+qNdlfo6b1mddcyK7Md3jHrboZ5t7Js0L21FYAA9q/hXUINp8bnBeYc
HjIzeWpoXG5Jbeu2nZy+Rw5Aedl3P5PQzA5aHvwgYSI8hDP9oNzoysuCmLhtavUjZNyg/WngN90G
UXMxtpW/Q21s4NZP3I0x1XBRbCtAxBBE13KGnw4St5/WNTZiFTtHLSmrTZRW+bwqXb86oLtBpayN
4Ex1vBFZlFCTzNL0d1DOoMepIYJebuS0dmV+P+V2tDUzzb2IoXdcUaIfcKzxwmL5Ni6iCZ165zoB
eSk8SNPo9YMOgdnLbIzFZSucbTFo5hp6LK9lviBOdISKppbpF4MVuV4XGA9Eo7s7iivNpZG7It2a
3PsfTTkMam1xLEW5SKyqz8Gj7T2svARpGAO8fR+cZgNoNTf1Dg2na1AldRX+YF9Vm8lvfohi6PaB
FfDN4wPu7HCS9qvQRNgZ56q6pz1rYGlNmh2qrZCouEQDG+eM3xwSWVaDSMaLfFysRWmSfMWlVNhr
NappD+sdTCgdbWdDdgTqkl4KdoiCXpBhQp3tLGEfqDOa+mZiEQGGkJRmsyp5r65k2pQXYPHhXpi6
eUAz0WxEGPJWNVu4eNUqp+CyAgZsHUtVj0/zIEjKW9gFNKG8Id2IXivg+Kr5tUx1i2pbNj+WcVlg
x29cb5wt95B1/nQbJWLe9H5XHZOslGtlpri9VNKv0iFIto0U8s5uKDEX/qI6CGqc0Hrp7Cqtp8ey
JA4MliAH2RXxF1sF2OT1aSD8dsKV6fbajszaAqFsdpcaGt9y4FCHKBIwiVFObgItcJ+h7Bj7NGLG
K1GEB6cfifIbfHlVUPmDfT1o92RFONdGNU/HJeMrJeTAhXNSqTr7JYPqGvuBfemO6N7Xchgg9qbo
xhDphMlV2czGoaTbUpGsrOqLdPbF1y62J7myrQF5rjkQQxlOQNnXsRHrv0qchCmxzrkaN3qs94e5
qtx1mWn1vjNS6+uQdhF5B0kUX8o2aH5kIlYkCDSypwNn5IR3fsULqOOYShostEWOCkUb82Rnh1b/
vYiNYt3+N3tnthw3kqXpV+kXQBoAx3obewSDa1IUqRsYlUxhX9yx4+nn81DOdIrSiFZ93VZmWapS
khEAHO7n/OdfilHXBY28R3JXbCDrV/UWf470ipxeeLsokzOf5VcmR/jz6hzKtnZg2AIcEv/qpgiU
CZ9eZ2nt3s52lB6WpGq+2g3WhljEz7l+Nvj26RIpywTnkA6ZyNy2Ooc2WQhB1XRvAR7wDbMSWuid
mbccOLB/52/00bhFzkb00DB14B0gPePsR2YTbWJXuwUmaYnHduPeLthPPBh103C5qUh2PXmISIyZ
BK1LiryEPO2p+To1PdOtBLIFon9OZ2jRpL5eii+Z2tYjYvH2rcHAK9jYbsL1WaVGk6Z5treUod6f
ExmOLdJ7KTG2GJx8kyV2cQS4r84Fzg8Hx2yJEqlHNmOVxdmqbHC93iRuy+EelrXxUMVh/5TaIr6N
SyqNyvWam3i5fItQPguCZtNVJKXelMml+NbhHUYmgk95Ekpp3bENVm+i8eiCDeKIOLWJaPFiNqJV
qfg62nNin1hG/5SkeFKuLGkEFRbJat7HpTdfmQMxIEk/jJtY60Friq0XeKblup11+Yt66MXvpgI7
Ei4BYAfiVTnN3xAapPtpiWpSTdIQv9oRR5vZjUyyDhpRIBoL5QdsB+tXPYTOd6JfYi7/Ew9M2bh3
x7HRHWLDlqcICFeXw361lplUOPLo8l7IYDPwYL60s0I0Plbc7L5zP2porPcYtgbJ9TchbwM/0p/U
gH0t6hKbye7gpFT+ayRI7q3vdfY27vCemR0KwiTkznaxOd35MbTrrHUxGujqL3FUsTAr0oVbMcxX
1djI5753nFtcoaZPIxX3B0jNTzil/rJai8XMH3bWTypC0JvcHwzRHoxUp1C0mOjODS+aaWUkCPes
Oo4iFpg1sOIxC0J1wDmlgxDq16yhbvYx4/kgseuCx/7Y+BKdi2ZKfykI6u9nSjGyYTtM0fuVpcAM
Hs6C1sT28ryMxrBXqk82bM3LdgZoIjShp4LKGppXP9GvKYyvh2x05AlJBRaCkVu/EdHq3wdejNi5
w4gtMlQtV7JzP2JngaX+1MzCMws07xWXIz08/hFldHsDSu+MSGpC/L0mB7jJtrIM511N+gj3EmZ2
mAj/GyFawwHTrHhnWPYrIo3PePMIhs2US4Y7xpseZv71oGznZWgw1kgXkV+ZZim+2HA9J6RkTTVc
4WER4KBs5RsyWfF4wn94X7KVHOIQszXTShCNTyX1alGGZwpI3KcnMV/BXxlJtoS/Xesdxsa87mGI
lfengeEpWUmxiaC0chyS5lv2WBSh1L1jTZpizwaGQS41O80yfUmc8y8tRHpWK4UfFRp3XatP1SLv
K3jb7CnI7DcO/lzPIfbKK8dMAcKxct7aU9Tc5FBszlmPK/ZAehKy+GR4islmQ2Xh2sUXJYh+OnXF
4hOqG40xNykl18OY2m7aunGemOu+EVGBf4PIeixLMPYzWmfDBVX2Ux1h2NZKgVWI7y1FfCQcOd1E
i/4/Igr6aGO2DGvWUQrhc4AXF9hXTDhb3APE1HAaU9MrM8kqIicSrjiuQmLJ2YTxQJso5f0J+ytj
psinnTZRNdKItIHTfjaxHlnjMeGuW5fsnnUZ4pA8KRq3IHGar3PW5zuVdum+H6iuzHxkRWJA3W2S
yuufurT44iv6R3KJmpdgLES6UbOOS9H3LtRWBqdl4eZz6BgP+DqIo8XBcZ+LId1H8DmrNZHnxbEj
LON1Ijzo1ZktakO7sO0Vr22+E12g7uhEg/MsTcxbRpp+r6jazxXhRp9JGBZHc2I36nRvVyVhsU6I
SRnXzlJMmMQXY7+zlrg84sRE11L5YkXt5N+XQvVPpkUiFZbK9avbKuyqHTqsxqJ73qhq4QToaqv9
bGcASlIWzQ1u61gxRA67SRdVwUYEHZ1R5DgI6mt34R1pSaiwMEHhLztzkX/V1cRdKRcyoOgOV27q
LAfm6PIkGwkqZzNQW02hPkKTku3SnX0AoNKWz1Chg7M1ArNgFhieY6tRp3T2q7MXc+OYOc77yrTd
dR1UwxOjUNr7cU73gUaAmFQ2N2UOPuSntMkMJZdvAW/psk2DpXnJvfJumPzmK/bxtNumGxMw62Bn
MyZMqB1+aWXowll/68nRUTwBBDK1rpn7nWcxEhyqX9VJ7+9mno8bwieaL66csBxVZYadBzO7bT+k
ICO6eU0nkwY+mRx5b1aKJ1NnlCKXs7ip4gqFdmzP5JPjjKyLXnAdgUUFwCpXV/jz1RJj8DYNoGuX
ZYhKnkIirnAfnHpjvnZiEA/RzvL+gvhUguWDFq1Ye7hIEe9EF4xxVHooHAqqgjnnuY88CBoaHjBi
g9sALdtfAzhy6zWQt6S46OUNgNCYJN9UQFTRwutWrac5phgZtX1nEINemc2UP8gGChTe8nmo7RZd
mKzYpckehym8rXjE8WgWpHpxRcztbUCchVcQUgUQXERMHNCOSWZUT44DqdvAGQB347bCL3KNEh8L
yhwLPQoeUwF8MVRl5gMiiIGXfF6EA1DmdqP8C6sAktXMbv5UYX2zimxVHA0NrqBoY1ujo8fYXiM1
OuFgFVBqEDezpPym0gbskQtbnLD4+At+czkkpxzstqoTh1wq42/TXHS57Bs8vqKkWJItBKvvS5NE
lF3jAA1VtRU9mFZRnZvazjdIVIJz0LXyubbA0EgvAFODvludRyQlt4NDp4U5eMfmbtjtG5q1+ssU
U+woU4bn0WefrceEW5i4JEya+Ihi65H3Fnq5EijHozzvsEg/6/Usld6GES61xB4WIJJh6lPz5oof
5xCdr1LoNI+JRr2pS/QpQIP2xQpYEs7St2+9xEc9saL41ic/cGcpvX4wL8KNCByy8LicSKNfl/I2
CEFIcXvKH8pxAEUiVWrjQQd7vJwNVgcE3Adxcuuz5YM7AaIOhuvc+rHhclSMYXCWIWWInHP7cVTY
hYclPoceaZFHh3Z4nXiZ9dh4+JOlPQ8yBCA+zoVZnfGZrc6uTRFb6meQUB6+tJAem51aaorz0WI3
I/bnaR4pk5scfM6sC/uRJEY2W/axZ9zpmhckNLjsM2BcXyDBoQO0DLB4O8VVMmI2T/nZsps0a9qc
fKdzK3eynihOOpqdkhcbXxkBCloXvBSzOdRfyLMHoB7BjEUa0Sp0FM4C04ONDbi85bBn8Vy22cnn
boAcEdNXO/FnuvqZ6Ce71P0EiYWnSYnpTgHafGp8qnZjGYEshnbgZppsb8nAe5STKPTZ9IaGHk+w
1gwzephG8DK7mMr0WDmuPI1NAYiot0oEW/ZW5SK/xckX818vdUG98PcUMuR8SIBMeCcV6DSiDB1S
ZKE0kn7/t6+j5zq+OgFpOS9uGtKEYP7ffMUujpJDtktxzCpesrRJk1tMPr8Mg8tdI59UHO0g4VUZ
cu5BV5h0Q8Mon6lKMmfVT3j1r3ALCqlbeje9IRaATXYkE+SpriMqyHmYN0PPA58D9DO5DaR++Z+X
F3MuM44Yg8iuv9yRM7XhUDlWSzfd4Uw778okS0knqXmhU6rK2HfZZJg1xreIqqBYLG66XDfeQkc2
+jMm0fm33llqj6AUGtgLUOyTBOXgcvsw6ipgniQtGRlz/R4ggSseydvM8JYJnBdiXxJMeyhmOwCV
be/ilr/KidQ5dVH3D8/xf0eVH40q4acz3fvNqDL9C078a/XDqPL7D/0zqgzsPxiWEZrLKBKWAhqH
/zeqDM0/HGYvIbpaF9qD4zFx+79u88EfcMYZdhGeBjUfMdF/u81bf2B6i5KNEHF6xgB7hf/Abf69
AgMre4xhHLAEhuJkvL+f9suJUExZtNZVxUHSkcgWl+l0UK6uEYlCgKpXJzOWaFluGeOndEI3R/OQ
NByKYeO+4jxc2RbIHqoS3Kozb0GyihTTya5iWwdwAi3kAP1Vy1zuX3f6F/PId2NWgsb4wvh30DvB
H6Ax/bGDCtqeAES1qCuK6unBSipj7Y4cSvPgm7zYc1R8QIsRgaZ+/Kvf5CNRz6ISwiYo0Dnf7/gK
Rlrg39rX8RUp4GfiRjCGLAaI/3s43bFkqCQNebCUCV6EqEBO694ZfOcQev0Q7dwYK70jSc/aY3ZA
84ufcNQve7vD0TWoUjD9uiJEBimS9VjYVrfsnaiqr7JWa5FjsliGlZVHyltJRTzt2sVngzNirLjX
hjdMD+QlgjBZi/uK5W3dEpoW8FFhEg3xVvlRVm5GFy8gxPpGG6w9nohcl13b9zvYgTMZoEwEFWM7
/OJE4b4qwYxnRqeBELrDzFUFdY7DbJzO8ZbieYy3lv7mZuIUDAyS2H60KA8J2/Rbrg0jOfliJNhI
x97I15hwWZ9wKLebF3sYcT7zSF9Kbqek5BuFsyuOM5md0yfFiBlysDSAEewssVoIMAg6bqCN+wYZ
j7PXPNscxsmpUy3rLyY0aG3YmHg9LKriwBWFPX1uAosQWmF33Lm0xR4AELme6qNqGLeuB8wnFszm
6KhXRTPwt02Pyf4W22UGptMiaeIMjMgS3fy03qrGbBasDww81a4O7iuZsNFTP3vh09CTkkdlQZbc
RqKKg6jLrzZbyU0iCpWn4Dld1z4nTBmbg7MQ1bPlPop+7aY6KSUlx5WpoQva8Oe81DzWQRtzXEHU
K5LToh+Jr29OiEUgzw+HvatQGrPFAKMzfKxIhvE6IQL23ghMQHscNAgoBGELaJtSC0UgoWRUUYyH
sJJEAONv6sEutszG4k1BNKPGhqf5EdSpuzEIvfPXZYbnK2dVz3Ar69zreY69J2PwrZtxaIo7jHzj
V3ukPiOC1gnWqV35r1WcD58bQcYbDR9LNhlBrIZx6IJ1kqHvWpcYxZPvN3ku/TgxXk8GXP3u3iYy
29u4g8+ywWuP2zumpaduCWpzYX65sVHBVOylsDACdYJkEZuMFUnKYTnx7FLROOO3OZv75oU/ltk3
IrCnh7Q0KUA92FLrOmaNtNQ//TqpQ+uROT+Pp8gJ5VwZ0cizpakuSkZ9dfPCneHlIg+IlzJv6jHa
tSYZo89k604PUCN4EYzF5wanNhzXfU4dceUyzWpW0dSqQzxk9MxZZE93GOPIQ49T53QWeNrH2FH3
fAppYNmCprE1wi1UDe4LUSD0NT02xVek5djqMV8Ww3giNmGR585WhrqbJ+YEu2IWbL9LOc7hp9Qx
y/whGjLAIyB7uY4GIY4LgUnDaplL7qVijpwSLzVS9odhzI1oQGsPURHAm3DYVXCDlVA91peFnE8G
Dw43bd5jb9AvRacoHFfTCGTCZl7bj2lvMAUPrCDxnqci6O3bLKK4pxmz8vovX4zWTeIFGTGCOjZr
ZeRxNmHZHKvsi7IUgMwK7+LuTURBl39W7BAW4QvR4qrbuqwqL1hNsRGFW7/A4Hlr5zBcVyBn2amV
JNVSxinrJiN2cPoc9JHM/3b9yrblyplljPuyOdj2bcn5s0iqOjCVY1TZJIMh8/VM85jYYlErLBFI
PzBQ1zBWX6jv0zi4qSDBPbtDH2ln6D99ZFrjmnzn/hPECGMLipkQ39O0a9HHyVEUYQTnATvHVZnC
f7WENZPg4ZfugQQAT6taMmmkn+PE6dud07helQFkz6QKF8R9Nk1gPrUkY65FaX4xqoGYJAKTV/lc
4aWcjFNwwEY1/lq0kf/3FGOfRpxQdYtt4LkflZy3eaGme4y44i+uGKptySG1YfIiHkiGq75YTlLu
7MqMI/TdJZZ5hGHdhTHe1X6TY6pM9kNxnTZx8cnOWn8Vmm23W4wOl6thQi6E2TP2t2NzOxRLeXYZ
xG57Ovl7tvXmSxb2yZ+DU9yNvjlleyUx9ZQz3otmVlf7gSTAP+PWKz6hxWzjneoqhjAcYERwyoUc
wjDfwekhqhxjC93o+2x7g6gfOXSa58otm2STLW21C1Kz/pzAXOLW4r1IIo3bV2sPAeZN4zFMi9Oh
xHrYb7+liqSvArz7YGupLmkX9g0+yL6zSQi/xD12phzYtMoermRb1vugkDOGPIWoj9qgeRe71n0W
1c3ehGW5wUuyeaZhbUZOqcE7VnABhu1c+v2N7Jzoz7BJvL3RLjnGnpCwcYZZAiienndjJJ28YsOe
D2gb5uNoWCE85Xwkl1rhiwy8uJb9nIFHtN7jkA7Lm2kW2VUYhMuVqlT4kZUhNLp39QkiVf5jsRnh
a/aeuCvrUgTkhtDMdY065BUMA3MUHEKOQXPPoK++IttZfUAYfUc/oyrC4wMCJ1Q3zA2RUP9YiDnR
kvjJ6IYnSYv2AgOEjaHpbGqM3xd879iil89hYILgnWrPRgn74+cMCQSFNoyjk5PrCsM3FXu2Rvnc
KWLD+M8/DMY5gxkKZCiD7/B5i3fYiCkCT0ExhttaozHkRBZrI+3D7e8/6udCFqogQCG1uAn1+b0n
iyQPuyFUADdVchpvKt3lu+gbwIi7+qrVBPz/+PMs+hCLZYJJo/teyIDom9e2KN3TMiXR0/cjqMI3
MV27VUs10qZ4xH1wO9/Nunh2XJzWasAf5OG9L9bnMna6UHXOCQyN6gq/QoofNlRO4GrSYW06rUus
jXLgz6aRcXz8/qJ/XqSBi8EfehFUKbb7XktQV440p4IpQd+n2pkOoGCyxo+sOH75KdCmQ7wfNBvz
3aopInusorT1TqTPYrWXAv74wYcyhV99Cg1lgH1PCM/1/WvudcKWrsG1MDQPNl4KYgag9z9YJkSj
CRildDuaXvrj65bLUgKvIKmxI+BJyO0simGG2Lmdo8666ZppWD5o6X7ev9jT2U24LMTFfOyPH0nk
cTSPheecjDryni2gvNNiDpQiPWK4bQWCaq+8dmGJ/H5x/LyzwEEPBUw+E43/T28E1iapuTQEB+Q9
b3dUs092HumPSwZm/fuP+sUlsjig1VODo/d4v1n6MJX4qNIGb9MIT2nVV0vbQXtzWDC57uAmvWp+
/6G/uj7kZwHSY/cX9kgDUwCREDZ3KjxizKrSEcfCDJI9jc6Hb/pF1v5jkxyCTiDacfzQ1yapPz7E
OglUYLKfnBbVAtFlVukiaPbN4qEZFnVTQ5CsoH9QJk8jdd1IrdXeDBJGzM5hKEdzUbuvDCbaN4Rd
gqpzqYrkLsi95iMnjp83XsZ0Aj0cO5IHQKPfs3+JOavUHVNoIKzwUvBBaQSoqwM/2xUmKiy1LKSs
//2TuGTrvb87mBAh1Q9hMgfv7Y7iArwk4ow7GYFBrTsFgv4Bt1HYKsriyCRSVa/3LLVuZF/IF4DN
xdqINJweZGvLAifyftFh8swIOuZ1yeb3X/BX94Sd8uJ7ybN7L4EyJRxkIjHdU7kEFN2mm32xYkOc
MNKqUpBS8yMY56e16RFzyNsAlMMShWz340OQBMhT9JPQQLomoQLMRLPVLCuW6dTQjf/+6n71YeBG
2JFhzvSz32uw4DodSwJeJvT9d1kFm5LZLl2OazZ0Sb//sJ+2aa4swIbFMlEbsJ29q4vK3LCaNjJn
8nlcGss47VhZvIh0ib//IPsdmcDG9YHcVYoHl4vDAeLdQiaBKJ28xh+pIFTS3pn0cP3aCNoOiThK
2/aqyQaQECdmLJSMSYkXc+MLtZKFPgZrOT0kaQ5OYIw0S+vWYlS5+EodTMMDygL1EjsTIzXac0l6
8f4SG9ZVUNfK/3QjvtgMYfTAuYYlzPtSKCUPpfEJzD7ZC8z0EffHK2aj6T42icL8/U37aaHzUawB
By9NIL2f/Ecg1djdMDEwUvjlMoTJuH7cOcItHl71lc6y+gg/1KfXv1593EfZDzGO5p8ks//0lKql
JFxFuc7Jk5PzN44zw0k5Ufh0AUQ8H/fhjVwKctynyf7gALDfLxGHT0bK5Qk+2YbK6Wpjin/tdU4R
damD5cLJgkNcLtD+Ag9TiRnWkbBREUTBV+ghubMZ6tZqb8K45g0UKk4PdjczKcYCf34w+xIUcck1
XiOxO6Wx6BV/vsxdVOm1GfxBK73zCTCt+E0k+R1C0lkygEty3+7drF2e0A9y3BkcBvu5U0QFDWpu
2hXzqunOHSegsTbKwf1ygKNolcoh1jo4nBWuscTP1YYg8/J+BG24UV5n7Cdy5O4wqTOWPWEiOZTL
Dmav6UM4JXkjM8nQ8N2eZEWS689d7sDL9Qu8PjY1Uk8a6CU9wZSw1oxRXXL+eiuR8J17icUw2Lc5
QPIWS1bVvDP4Ji4QSazCehsVCWrnzIBVsQ6nRoOh0CuTu2Ge+LNPfnt99Mj5QbqoSBE6YKBFV1TJ
hb9dpP9P8Um0N8hLWOi6Rja8a0lVuEhNqhZKbU5YO437rKYwP2LCOj00JDUld3hZFKR5xHLo7lvR
8kDsBqvXbW2VTf5QLybnheo7S+6wdJgeclwaz7Hn1fmD31jtG+lnXAVEWnf5W3hV71wraWkoaiSU
YgVhgB/k0t1XF+Ib/ldW6ITb3M6c86CpoiAaMHqxcCTDcuc1sFo24CAgV92SAIQH5eyJ7SAifmPv
JZH1Fc5udZRT1ht/TmTYLWuZL5xaoVk5QDhJIVr7thoHt3uwUhJwNjnLJbmjX4X3YM0+BE6ysJ3j
MKiWlCoGocZ6aSqIB56tTUwW+Bmnimh6b2X7Y+qfnSGyxmMCVSDiXLWG9KZWBZhW0PTtsp8QjNor
woBAGWOC2tWjVbmqgL3hssBQuZKmYaSKs+FSB4DZs/qgQQA1JF4NbgalD2IUVuQTFt1k90zfwm6J
7iA5TXffITi36PkyIkH042S2+5pGSRJt274dm8P318qz2VtIShPH0UdR9FrhuERykIvTojVZSXoA
7QWbtzuHbVx5LqtIBnqmmxQu99VuNWYusrb/OqdIaHZTCg7/fTSDN/Fr5ApdSMQOtV1Q+85raWUa
iVXA86sG16UDhCQQ+Mvx53s9IGMCduWfXbILl1VuplO2gwlptlcl0pRlXzYGk4ZidrixDnI2sctC
O07v20ryRSwT7IRYT7slqcSS05d+8oUBtdp38/whqLFXu3anAglUllWOzvxM578Dg0nGNguk7dzP
VgMKnMzUxtgNW6Nfch4zBkhq0u6AwTehwzQn5w3uhP+ZwjzH9t5VHSTRVZEODTz1KFpKsHmjcLNT
oVrQenIWRgs2QbUEQBKZE51K05yA2kDIuwCAbOmHbPx+4v/vnPSjOSlmO9Qk//85Ke9Yl/zX+lXV
RVq9/jAt/f6j/y3sJKPCw5sLJSa6eF0A/CPsDJw/cIikuDEth/LUERyv/0xLhfcHTTAwDZ2bwMTX
46f+yeYW4g/+VWapOJy4xHNz7v0H01JMAN6d4TA+bIEHMvhJQF3nvztG/XySpSraDHYK3kKwFuHR
bcjn4eW0MQ6ett2A9G4FCpEAQ9skUhwrG6YC7N4WMBMPTTZ8sUxlvq1dMsgOBhHOeGcReVeaJHOJ
9q3E/fAMTwGDUoRCNxi+OsfO6XnTZpuZWgE95TiQngtPPisoWvKCtCnMA1CEwbh8qTTPpDEXXq8h
awHjxwryGNlgzisUMOumDEsD96iKI2HV13bQ7G24Vwpqj6F/5LJz51k639myC596mmYmho2GayD1
Tg/o9MOnMrWm74zCKNeHtGgmn/3UrvL6VDPMCE6UQu1bGzCIKbQQaXUZz1rVZRRBMtTdXOiDPu9D
LqMJHcpj244pOAHVH03ckF59vbvXtdEfxJAIlB8B+amCoqQVJnWHV7bWzfcJc+MzjPs+7mHmRSXh
h1nb7hv8t9/gdXEHvo8wcCR5EZGe7U1C8a+RpUF1SebP6xzzc+g3+AKuhQgOC1U+zRSMNElAqznJ
BMrHlRdOXLWjC+UgF9QwqBujFUYkzF360RQ3Hjw35jh+ciMQz5wDTqIVrLrpOiOU7ygIfDoy5uVn
vsNfJD4BW5LrzO7HuuYOf3+ghRlT5sQppaFNUnsB6sJYmEfats8e3fJ0Hht0KpuJU7mEm1rk6b1R
2lxCPWd6ix8S/hm0OKivOYzoa0gR1DqHy5k4MkBzCQxhkLuXnPPDocnLxPysiHwVu6JcjHo1jMu3
JNKDK3OowieYnA/d0rq7GQKlsy6iNHpa7Da7R+sTOpBcpbFurNJ+rLBqe5kSpkE1obrTLp8Id97N
TcxvWiKbf8K85rslehF1JoSj5DIc9ruB1WArNHOrUHRMwi8TYVoryhMGBhpQjlsWn2FzHESDzatH
ZdC9gUZTUJl6PE1yNi+hH06XGgUHgFUQMpVY5VlTzacqC2lf8rBgDIeLC+vN4rU81w3mqnixReJo
QOQT65nCaCIDt6eqLfNoItld8ySrsWTFRBZ8tWly+MhqMXh2g14nM/XfS68fEUZG4li6TCMDq+WX
ddJM94DZDLYcMJ15GMJt41jNi2qy6OmyhFODYehMGOhVrV/2TC/SSA/zR9FzSy6d1qVXLRebrgSS
cb7TCPkT/s3cSH0GinVTBCyY3mceWVRa63F5JVBdpnsvnbl5c9LzsHWfk1qp/N7bSbfhmPR6RJvO
WEdPBsWdsWrajGM3k4g3CjgDxQpxZrhd7IB8y8QdhxUDWi7HpCL7PleXpF7xPsBSZGYu4GC0+cD9
wfvQehxsuMsz9SiRdsjxmb0gtIEeHp4XqQmYOLiwJOrGYipaEC0VrHu/TcRddqn5DVzm2E+ZhG9M
2tUDdRDRrgUMDwivxkbAwFKEK+dcr8DCctwt7dwn25CXgnZFweNcLYIdq7ThMj6Qj9xcx2TfMpaH
NCVm3mVtb3IMqpxxLFxVfo/j4Saa5yB/GcTNR9NEFNoRwcEdLB1dfzPfW9lJLl9ypGwHMnrjfdQl
zOj1BNTLCya1QYJ15p8tDa4DSxbStVi4YNIgWVGkl/GgoOxZj5G5LM0prn0m4qIqGfaXEfSxDPnz
vndsyrNhpAMvUg2KkMmrtjhYsaYQcrPAadt4rKqFpmEyKmDWW0GeY9bE4Nudx3mTq1JAMUWale8s
YsihlrBKR8yBvFWJSPsm1ePwsrT4PlnZMEYdQr1yfAsR/MnJFL/ejqP2Lc5xpE8Tl9V94efptadS
18quHOxxDr3lm3J3WfOO7fBDZsc1r22wKsHT9KybPh1ocRm/cp2mPkaG0ZLdPVYCNBBm2rK/qZaQ
iiIRej2GM7VrIwMoAkIDvd+3NDgwabkB4WApYd6h+mMWtNJYycEZ1baxDOvO8Xi7UJaF2bofub1E
de8ub1w5BM7TWNELrCfpqmR32VmZ6NCujIhqn6xUVNUTyaVz/tm9kDwKR+9S1gDG5iSd+xrqGRAU
0/LeSnqbqXf1ViVTeFSEXbH4JUTHFSmR7MBoBYE0F5eNrKB+6NdBTWDBakqSyoKpOCfzge1HQKS3
4p4SYhXXcHchwyzhVVm1HSJmHyk7tyQNi/slK/7OTDQp+Ih3RvzEUUpX3rklj4jkcmr1fmKv5Z1U
m4QtpgbBsd1sLaTy3uqqfKpjS53CCIPjcTUHzJjXnlCPKGqOdagPotarikcIPc0VZ0xwZ1XEhfLu
DmJH6wkLx7K6G7hojKH6Il4PUGs/pb7Egh5I4ItEqmTYtTy3JpJxBRPf9DPegVVfWqUxko81MzPr
mys/C1UZaaZQvQ5DwkZlv8NhXO4Mzw/v4J2tiCR5iGzHNT/PXtEYmjBRehFs97pkV814w7FOQpll
9vamMRtaXrJgq7UOiCLUVDrZGt5zebAsCRc5dZpgbTi52OWVTX4laMXO7Kfx5GZJnq8Nf0S3aVdN
Mu9mD/ulQ8iyxFOx7V2C2v0kvOqEs9wGU+efUC5wzCHEP6ST0XTQ261PDqaF14bpVbfpkgcn345Y
vRakGS8J6m2MRidBPTqBH+d+f6Wmwbz24aiJVUv29Wvh1Bns/PITHZcszgXD9HuZY31udO0YwIlW
4S4YxPAN9Vn4NQk6BAwjmutFs2ml66ebQM1qNxtZeMCQY9jMU1duy6CZEpj0Wb7qwQSuA5Vk8zX3
y3uj96t2xFtFnOOk08Tp+AnrxWaXp74iWWv8MkQTbKTM/xrLaX5I3LnaWIW0dyLX0tHOVfetyW31
wsrbulM5/ZX18KwyP1pZY9teB2my3JeYxxOS3pfolwxnH+FDcW7C1NnGsn2UYU+Ppjwqo21byvqa
jpktChgKxh56hpi64dSXSLjtVhkHl6zDYx72zrkWi7nmplVb6LyI7z2iaCcpAzS5kDkydqwVKyS/
w3MEogbS7iW3bjkEZkq+oYI/bXjHQon5Pq7FWlSiOthGq/aBPiHE3AybCVnTwc15YAw9jZc2muQm
a1R4vWTuPdnN9gYyg/mQqyw419jZfbJh+p7xbSJtzUDrQeontevXbsCCZRPZ9nLqJpKSM6DeZ2TI
9KllX8L0yBC8P9oqCvCzEMaN6UkUSZ7lb/LA2fW+O+/gDpXHkeHlq5GXz5Mhc3SiPjLlQal2Z/gs
mxVoCGropev35P0mazfI5ZrNP94sbsFBFCfdcajct4bWf2t3FlyWxtSCico6zpkSrxHMRLmBqT89
Q+phqG0oKsHUrDZzbubbTjreYyTZUdj5FSE6tZXCmLH9g9lOYl8mxbxp7Rkj2bGwxnPSG1jYNqKH
HsJGEijuXeeaD7D7CmJz3ULN1OJymbIHIggJGbGy0ikO/tIO8Rubf7xLMltuGDM0m8gYKhQJaJzV
igDlaE9cj8HGhNE8zrL9+GQg30Wy5zE6gZpvJRvVdHQgidz6nqqvsTNPN6noxqcGM7UjXjjQ/bG3
3RHwtmz7hNjWMPPTHcJv89MYTwFLHBzNMU6pqws/NlIYJ39BqojPsSxvkqFrPxtJ2F+VKrj28goO
ENXAn2Vvm8/h2HpqxaQw6k65lHP6mQjJ3jyWuRd2J0Nai90f2LXCnQhFL8dtBnUWWRiNW3QbdVBD
181AztDkpnXwEqF+g5qVZWMzs33PZhhBVlKL2PtZVuNnaheOYa7i1jDHeB27Zi9egqTk1IXrNHvr
4CIO9HF1KK+kiYBjl9caAjTdEtAHYSC0NbenBk0uE9xqbClEPECcnnQqJIgn01qmh9lGFkMtCt1O
jpTlZE83H2D77+FvWmdEmoGt5/8+bbT++38h0H0SFWnTpdkhquGgoGeu4XMtWgPy7MwLMy2HVF8F
Iusypl+NWgTzL8jhF4ThnxzA+AbQnR3+C+0v3+LdmASRFVHJdhcf3AmPhlVUoYvZ9KEVkaBrtElM
sRn9H/bOrDduZNvSv4gFzgPQ6Acy51SmZlnyCyHJMofgzAhOv76/VJX7lF3nVPV9uA8NXKBcsGFL
yiSTEbH3XutbzTazsjQ5yoY43nXj9vE5qSSOZV0ZZ7sWnCr//lX9m8sCttuiLY89ktn3L1OiChBQ
neY2EesaR78W+EeyJmOJM+lAcRzJzOTko0o6vyttSJqXv//pv05rLxfjQg2//OIIzoD457tS4RMj
rg8uhzMzeN/lRjs37DitX+bckHR2MOxYo289CC/W9sbl+P27vHuw28a8tl2S6Gm305JLd/JSQTdt
UuXfPzWTY3VRN/7DC75cjz9PUQKgdB6/GNTrumf8er2GIMk0i3y1XQVuqUM6PKke345oODQ5gUOT
vSlJlJ/69rXET3rXSnoVn/LkrJ66u7Jq/2HM91drNFFcOhp6ppiIhdiGf76EmtNqi+LcAGyWVnXo
anTdJS2pp54WTx/6DEBoKZgMtFH0W/tmoL6AHUPX2QCEBpyqby41GFf27y+VdWlG/XypaKCBiXBx
brv6p4ngz0+cN+gNGaRtumvchBNqgjelUIiVx86bOBVZfXXfpIVv7+eaY+tqQikmDpjDhjtlD0Ef
4qMJnnR9plr+XfxsSMrYTwUUiFqO71nSc+aOUQKHzPwB6AQ6T7ZWxnRLhNfR+J1pDH77vSjNSrS5
arl0Aaq5YeQYZ4x6h3zB3M457jW7TGPJuvYF0BJEi8s/3CfzF+kFH3XUY2gu6IHTQvyLpAuAQZth
DtC2VooTJzTrhX6+ry6lTjXx6ln4cQ+Y/qDdV+ZC82QqU17WnKnlfgpcrlZiXUb0zoINMS9sfsvF
4v+TVyD3/mwPWWZzudldTpdGjYrxWZ3QAQOS1qDCTwbkF79LdBk30LxxxTzwCaEg+PZ57/+nE/1P
nWgCwHj+/nMn+pRV1Udfy5+b0L9/1Q/LDghB/0JlwJhjXTrO/2pCB95vJmpA3fU/XTmfbp4flp3g
N9h7Flsc6kRERB4L/R9NaNuCSRiQanOJs3YCvvN/pQlNg/WXNZAkUORYxBghXbkgnT9jbf+0lVpY
XkuA6vqx0rU6bVXE511b4X2OYT0ZU7MWtoUJbLaGpttMhASAi2qkRfp5gcu5XLIKx8Pcn7DD2UEd
QiBYvkxLYdtPRsCcfzX2xhsu9+SxnPDnZonrfBmwWp8AJMmbBZBpvMnqnNKrJgzxlIz8ZTS4U9Bs
NUqsXSfziqIP32I5ObdFJ603bYSWc8QXMcGzck15NeTglB4tESvvql9azvmqcEeFn7e01Lf800Zk
9hMujVrn7AaHdwaCsoh+XlmdbkWpZ6kXMktGXA8K7t5JWBmO07Yjc2AjuLf38LVKN7LMqhZgY+Ps
0Uhnor1xYixRl+UIfeFE4oYG8XDv2src955Mt+aUfytQiKwzL7twA9uMNQqB+TY3s4cZM+ONS+WT
7/gn1gmGTVyCScOSKUkS6cLOJtFdGtrrJOyJrlhejrjfPUaWoJzW5DYGE1V0OqyQzLbOekHwdGfo
hXMaAvpAhlSesVdB0KI/WwKarKXv3TeeEz90koVp38XS0lZ53zgFZlubGaHXxfkznaKUKAjTiwQo
f65BM4Stmiq68HXBScbDkqVKYqqZsce4lOZ5PEolE6rkpEnXXuYud22V2JlOEYFPQBhwo2SHbtGU
I9TfcalWyBgHCsy4zTf+HMc7uy7N52ax8M8vvbY8BAUlSiiT0ct2nFf94inrCAN5TIgQ8fS1Yto7
aesRJhW9+cvJVe/3mIIr4kfzwsmM16TH0sidK4zQIVpgXfY2baTGPi9OPK4nPWZTD6hkUFHf+Wns
rqEjFZEQ9ZhHmQMPya7bkoNAIEH2MqoIL/mhWdg7JtiwJR5gC/mMAjTvQUxwkxxzn6ju5Mx+Hi7j
wnZYn+12aclSEFt85fHBE9WmQiPxqGnp7QQ8lPMFrzBZJtoAw/xi6OOyQcweb+Jhvqcx2e9bOBtr
uDv5VVtq+r5xbLGRcWseArC+oUBYse416Po0E7ODjahxM/o1RKRiXvZ6y6NpuoX5GMzm10r68MiM
xAvzVGqRLfNhU1eelAfQpvkefcBbxwni0GV2cmzRyK+WpSR6Fq4HR8eopzm3sZeG66MBO7tMfJJW
C+jvgmuhzko/HGyogClAfKGDp4Wi49a2OwBR0FtBj6g5uaoovC91cbOFN3AvM62n2s6MEMF7HNld
btzw6vMjDUcasTGS8z1WQ/WB/3de+anFxeFh27WU2cJjVFslC+jOtt1Xo3PfWsWd8LOrxYhRSCgd
4uLykLlyW+t9cPCS8a4PMBQvVOC+Pq8TWFFdQoSrP9iPfdtu/ZmpCtA2+B9q2nRNIddDjK0jie0n
18JANlZlvzLK4qOwMfCb1eiuEB6q+0yDuE9fKwokhmbQLiyCmX+yG86SeUnqt06fMyTFwL7VweGt
y6mjzxQMI5+tBgA498PdMoHvo0t5uPO74n3xAAkjNwkOLsvlQXV4N4hhzc9pIHPMuqCNeSqM2yRt
bxnJrTWfN7XU1Xny7fy1uKxmQsVeE/p5rx2bxrTvMrN1D3UjU+YqOcN1cgNevDZ91rWewbo5fU9l
aewSr0csk7V06QH4RQ4WmoOaM2vds6zfSmuEcbC4wV7kdNfc7hZDlr5hmfCPda6NHq16V35hXVHM
Lr14oJaX+Tk31RC1Usitzo3a6HWr8FY46Z01TcGpm3R8dppc2Xn5AljDjKj+r+ep3FSgOcMpbzyS
Kfs7GousLukFuqPnGwBdFi+vtl9TOwPmkrI7tGTnCoOo1VwyIxTuxiyX+J6y79RobRdNhswfMVg+
OiBqmA4Mr/0SPLsJlDgIjXyOVQMps4BTZ44bjPj72s239P5jrmJrn00jabej371XzuysnW7pd7o0
HxqCJvkACzT1tDOGo9OO+jk1rDsVNFdFnz65wuRkCDJIJ5AhZKVdu1rwlSkTDQDbicRlLW00/8bv
rW2f5dPdxK0rGbmRKMUy6n8VcWI8F4TNrzrL41HTbIYR3nDy5mE9tOKATktunKE1jx0wQhrYTYaB
K6jTSMyFvy0mtezTWu5kkx+GLBZbPOxZlARag2lG27CZFdESB17ojwBCwtpW9rutcb+YBWn+eV50
+zYtL5gFr2tPcNw0ZlpDvYaBmb41E+O70VRXU9ayJ4zFo2EPFFL1KRgWNtY8CNZmJ+8HFLlt5pXv
w1TtAn9+zj1RrAfeDxa2WkQU+hkdY4AyXWlsbGhKJp0JZzlPQC8g5MRts1LogY5O5iS0Kq057FVi
vcS1apioGaIKNWxCzdoXrEwDo4qbRBt6+HsdIBTJvtZAhN3NtZOvDMNoNpVq1JXJJA6/oYmMRukA
zSztMdXGy/YMBql2AzpyzpkWmvmEbbC61pNmmFb2XNgA++YlV3dVrvn7oBfLYRqsR3vSmzeii7Rk
F5e49DYOvbk+tOhtdaFt1zBl2GfN9SCD91IbbozUyyJpj/Kud6qbsdI0pEzabclw7VpMNIE6q9so
epQH4Jlf/J50iCkTB4Y9co2EdliZkI6+srzau9GY49d8Mbo1jtxuT+q2uc7rId26QBJC3ye3uhQ2
b7YfXoKEiJRK97VTQmftqQnkGDLG8b+7xPutFIay0Emt4rX2vfneGzUmnsp/sYTTRJBvvSdgDtlK
i109okTNH8C+6Dj7kPEGdBdDy5rq1WRfHiJuWM4kzQI5gROL55qXl6ClWZf5t6YTb7OueXdBUA1f
rH5Y63jCzuAVnNVMKgWuSQbA9KKIPEOe1dlho3fFsV+WGgyHsjkjVMnJMIudFDEteOq7NQ20+g6b
XgsMyk/VLYRQf7d4bvtFW4JdLefpYehJATCCLMgiGr7ZFXzcb63w31mdi02LeX6Fmkg9ZrlxdCsr
YObfzSsHu/E6xjF2girnrqQJvSR1TISAWp2beP7IniLVtL3KjZ65o+znq9Ieg91YGxPsv/a9SAgO
VlORGTdNMxj3LJA9wytlFX7oyjEttnaV4PCjvcDm1WvVS4uJ5pi4s7NB1pA96SM9Z/hATIdDzZ6t
+zK1jDekfe6bnVUQMBeZEMSY0kNGwL1GgclQl9BWXLeA+exyOHhq0ehz6qvKMq9jChWL57bqYEZD
WVqVnDyiFBh2kkZlbKCQPXa49TaiHJL7QOMgapw4aEUlgKIuWPauOX7DUOFuWzgUqxLnxlrBIMEm
WTNXmJwgZJPccteYkNgyhOjZrIq6zmEQqa+DtGVkLo0KK4jaK6eo47CLW/Y/UUPBroCIxAxGcFwX
O0uadph2+XCo9JE5knXO09zCsOp2W3Qr/jFLSwztEueD8AIMz+mmoCS+IzjB3urGmypSDkw488io
jx/RP5Yhgwi6w7a1YmBMJJrThf6Qx4fOnas185PdUvG5K7uJKjowjajW6CNn9rDC6dqynIAcQWs0
0NCCXLqI9OsYEFzOAX+j+1xiiFuPExM4JtoBHlXkGyMT8xXBmNi5J46GjN1ABCZU7xHutn1d23cB
NsctdMT3olKP+DtBL7vLrSypUxiWwPXAkQ+iUq4amy601TjdSWMIBChGM5+wf/ShLMrycZI9Uj7I
MMCNNBubRAdFraaxkGLtCc28RuNZLo9l2+DNxTEcZXWcfROdsTImb7ldwAisp8INZ518NXfy40dm
t1dtquxzZwcyUm31ncMv0Ja0XzNhr6NUEya3dMB036fkmqjysbPzbFXYKtm0dhWsbcKgOHT7Tsh4
qTiBg74EXIlyA3G/Pbt+/Kb3HTFdYnK36Sim23bGlB/0rhExR+PUYzTBtd7k52qa1dnU66is2zFa
+u6i3tPnswk3WCM1l/BOJjLeMGAFC7zxCv/Rt5p6A37qi+kvr/TKt57RqyvK3JmLIfB4LvvYF8N6
0TSkCN81v2Wi4Pb6ldHnza4V3U2bWSBqU5bHtEVKMGQ6U0bKW2zd1hYa+dasHQPdZH70sf1xTtAP
uvAfIaeQLZItr5On3mOVvNW14PNTW7dKnrw6fqyHRYKOqZKvmga6TcEEAk6zRInlXSG7evabetUF
Qb0VbI4hQGaw3CB/Qq3SjSvbbm7zkdOZ1ud6JNUCMFUAzjuLuB45nmk30EIHPxTltLAl5DFvl52g
xQTXpJvZJwi14xP8de7SD0uMfEbicQ5Ti0kZsycYwDCaypeizkm4yzKjJMXVJD5qqq2CA17deSvI
69XtKE25G7SJAX3uCgZUWtJFjQm2LqoF9iPa/4gIkOFS5DTt46iYogxQ9vacqsU+8NJqaweVvWnm
JTmOjBU3XaUe5m6B7VEH14Gv8psq04zvTtar45Jm7qGx/G5nFrM4KLC6G4dJ2YNdzeQPdeYrNXx+
EpVNgZ/o18uSDLCG6uTKQjsaoXVzToiXod8uxDBaNUTEfKBaGmCobyT6+lUH3i9mbL8dKsteJTjY
w7KlnZj1MlnR29AwWuigzkngdpvcWptpEV+7ACtINZnfYE0HYWl64CMKrhiH2lOlCO+ibbcn1hAD
/TicMYJzrOhTkAgi+Eo6QrZqfQ8CQZkidWmcimNQt6xGwbfvgzFSPDsJmi4+riVwYBMeIEkiEWr+
fJPCyN5zbtx7ZQUzpCiHzSUVZc1qPnPrnWqNiGubk1ZIMeXfqZwZKqUwHRdryl8GEQQX+J0uTmzV
7EIj1cJ57oMjoU1+2BApuTJjzwmVKCMNCV9YG2Z79OZeh7hXZLte2EbUoToiSa/Xj1K08tDX1vd2
oUPLMIYxXfpsLtkZ9Ue8nmD23eQdt7FmEINwCph/UYyRhr8ZPVAmVwKyyHG085vMxGYv6vKUuN5T
7Qf9lvN1G00NH/9+mjaVoW+TkX5HIR1qGQITLwxdvpWvwDdk8mOpGzzt8jSjJA+7OUZrbUGnaKmz
TKuKSvhZ4ShT3h6ELrhcEZQLVmVHj3cpcW5r8GkOh5b5MPKkRurC1dWVZI1khAYBfHgbvPwNMCkZ
we0NrMIJ2dJsrighjyzRTyQOVSCqpzWlFp9k9OaRHPox5GnQz4uhzK2PbsANFjZd1McIPow7NHZ7
P1frZXBF1LZAuil0lupLa2u0TcZx9DcmamfWzjv0nzPvaJBr4Y5UXv4YJR3loGSgh/wnVHQEVkac
jYcUVG3o2NVbJevgNk80bqTvbNuxRRMzWcujb9g33hIAk28ME+ievpE9MbJ21+WkJdUQSl2IfYRe
ePkD/fcP32jP/WIehe++WoaJPvtVGuUWzcn3bpgbytxsXpO3nUd9GazavIqMvMlXSzt8byRBo4Um
vqatlq7biwi9b7RImEzfi8WnV7LkQbKqKnoBqbFwbMlj8sHymy5lgY561bkTwAnbu4ZYZh40zvQN
gAfy58eBonxo545/xE4OegWAMTPpddVPFRIW6YVj6x4bUOpwviK0smgvJ1GoDV0cvKCFckKxGB5D
emNu1RXepm5rQz1H5OHa3T4rWqT4rGoyxMXSOSVH4zaFLsGJXD5oyLv6TenDHdh0mhi7yMLsUR9d
aoSZ5cNU2SZnitCCv+QaOXFDzwHOoX6lgDG99WLyhCSQI+jpWIT/Lf367Ud9ycjp/9dlEPDO4YJ1
LpX/++c/9r//OfmoL9E6P/1h/Rmzc6s+uvnuA80OX8o3+uNf/r/+5R9hPf/UicdLi3r6P3fizx/D
67ef2/C/f8kfbXjDsH9jrGYT78N8ksnkv9rwhsmY8kff3fyNOaCFaRh9EE6uSyTnD/G3w185n1k8
tkmWHsPPH+/3j3Exl+r39/9vx8e/zNN0BBmXH0PTHcsiSCFe0J/naam0p6HqGuvkxb33NI+2s58t
g+aXsxTQ7dOybXk864NrBK3BGtxSJi1Ub5iViq0y+/YKuLUynyEciXPtFV16bKlE6XM2LT1J1dnz
kzXYw7MUCLpkMgNgbDDKRsHgD0CKZM7j75LmsVXjbNwh9EHuPcTDNZohNDy+Vo2K56Pz6IPH3bjJ
qFB2XgdmD0rRoEKvmeWWMVVTh02aT4IsInwfK21GiGvPs0fI++SPyY5QtEUhL871N7I7gHKziYtv
rae111niDCWLXDldxwhJWDNps+srkh8uWcLUu96+njt72bB4Ts2WtZa/tS7YkwNu7vmmhSg57+H6
UNmX5TxpB58XiLI1XkhmoYNbWrdo0uvbwM6TuyUXw3WLogx6eiFXOBf9JIrJytnmzDB3ZVAwzc3t
mvE1rg7whb4S1UqzO5qRJ0uYj7JppLc0q5HUHNnuYsPJ1LaMTY5uW9+BTLbxOqzf+goaT1fpkaj8
6WwBUCHKVs6Dtrd7o1aCTJ+WxkSOL6GqxDrzUWVPX/qGGaB1N4CjDDtsDjTwnCweprNAlhgApimy
LggJI+jKTeM3KA7UZYqc0AlLc5QgxqxthhjO7Rg5PZ5+LqYaPImcThvSVYJe16uR3oxGfDQ7zi+r
1u6HywcHPCOqGgeI6pSPEGRKF/7jQUqlGv0Mlz6XFqOIvkfGXQI4MhnnPCdxijzpZcqIYO2+QS6V
JasjuKEivv1vWcpO2XtX9/V3+fPi9flA/mtl+/9pwbtYK/9uwUOF1F/+I6H5JwfM71/3Y/gI+U9n
Pm3g0oT79xMvEPIfLFx2a9bVH9YXfvtjtdN/AwjI+heYsERcz/H/K6sdE81f1QOOEyDp9dE1WAHg
gMsQ8k9DRuZfSHSbXuxLZEgnL4EnDCyWw8BSwppwJIRV2TokaoGq4+SNcETY4XDJqKppnj0upG20
iLkusQucI+HlBgZqgEjEOP8ZWxCINGv4jBvRLSZBDkzZj3HmzYrDQGOuLfh3p8CDl82r5FQ3p8Rg
nz+jjAhSQLzUZsg6u9RCp5DzVN1BRfPIBoEc6o8omD7Dez4TkzyM5bhSpos0owKBy8uEQh6PVfNq
BdWyAc4CJBQe+36G1cMJN7VpIuwKbAuquzfiRbFIUVYaFMUATr4NiZW4mzHwKOf1AdXvulTJ1HG2
TjXnJdWDuYa6R58hPdbSwvcajhTx401reiR1egkr7HlBX+VvajEbyd2Y6C66dlG2NuHvpc7xsadR
v9JSNti9YV/+ZQJQ2XueOtFUW2Y1mMnBpxPaOqcc1WKjh+ZmjD5y94gcICPJ4DC7se6BCqySN7SZ
yfXgzfUaYVjBSMybW6xLSes/L2qSGsfAcVrj9iTnxl1WCAeni/EVyClC/LNHndxHQk+sXYG9mMaD
WbOexsNzV9xCMiq2ZVdewkHY4/xg03SDnxNU63LApgxqUQmx6AuTD0zjEWChsjrS5iC+Hdx5euT0
Lp71lL3DK6o0sqDOoXgSzodWIRvEwD6FbYCusAq0YIOEOttLcPov5Hxw0sYguELDWu2zoJIHOy52
OL2Lu7TIxe0wIdzEZ5N4UTW2W80YXSqeaj8F8wMI5qFDix/0b86Fm1xePFwTbcG9SNxyrY+yPIKr
6IkHs5n6LFlBCwBgc6sZ6TaZ6uDdJZsGyUvc5TeD5ravyUC9QdUz6+dg9jkRSyR/B8wyfNWsV/pt
1zOYG0lVerLM4iHXGvPFJWUgiYD0v2emazy5bBArVDb2hhrG3if08pjKTcDTrfEjjnv/dWFcsg6a
Wp9J9ErkKzONdb7g5jTS0Q5FMx4HO3WuC9EXG2tYLLpCSVzvOnygqL0N90Rkj/Eymco/G15FgpA5
yn2AYBtu7xzQ1qj7hx645bU1OvVOWKV1HOE3noHGMchPGofo+RQ9/9Dkz22V5i/c0WI7Tco6qnop
dqqqmrMgJfm9SaQbR3GXeIess5ab1pEDnRzYJsDhjCGMG9+jjJIlxAFU/huNSLmTP3fWbbDoLmFD
PBK7Yupi5pV+lh0qum3Xii7s1dBZ2RcczOCDrXnUT40YspPEkPGgUIneE6/aHAAUIqYmFu+FEU7+
1A2uPEqnJn2V6Vx+0BdvMTdGmZY3DlrLPTnL41YueoIlPvDRvQ/Od2fo2i1+/vnLlMOfZvqyr0RT
gsqPT1D/AP0jKQ3Hz5l9lezNoDnOjj4zx7Goxm31TVUjDl1RFTsd0ERYObSIDKMnkyKrvI2Z6sQs
T277RoKGOurtmG0Ke84it7LH27ym15YKf97VnbJuIeLMz6rOlnfgncMtFyS+njBhf2HsaCBAGssV
z4lc1eWUE4lk59vGzt0W4XEtHpsMlRm3nadFG9tN4InmG3Ewcrv4JS3TCZvEenInO8TVKG9I4qtM
xjGoSnNzSLGQOeb3xUQMCkE9VnyU6d7QZX2Avj6c0ri8aRiOnM3aTJ4J3iy2ixO0G4IjcP/CjNZP
bib0UyBFcNaQC9zO06DYKPoZ41VtFNugmK6LVqE3NHhQITMl9mphqlVG8Sip1HHAH5qaPkriu1nE
xahOqqU/7VksNYx4wJ7i9zVb27h3Zyb6mE+0OOpbd34HOznRIMNUlFFl5/mun/v2DXkESoJcHNhL
4Py0tfk1p0+4L3oHsIqdZQ9Gl/d3iSe9s8kAItSInIAJMIv2sa9UwHzLW04D1fBrUyt0KYYx3hVZ
zQiDp8e7qsZx/kaSQj5H+POdXVU540FLymEb98ZwHmRnHYhXuKDu2vZpdJz+ZnJoeswEK22tbEpv
2dmaFzdQ9ZsvK+/7jM+e6a7koA3H8Rst1/zC9GZ4IJvNWPvqOE+9s/IMXTLd4HVGgdbTnjBEPoY4
A4fXpqQxD1QUpCseVA17dGq3T7Gq5Lr2wBKS/p3FkePm4ntlY/0nP7z9gmTcddd2nZRvVpL42wpZ
6kkZsX8c/ErD8Ld0+zTwmcMJGO2zyf7GCEEWZ2nrwXXul/1JGLNcK79nGlZr8hRLTI65LRjQFR7t
s6FSX0jhxvbZMMxCr0C2Ythbo7rF6OdfLVowf2CfucgVVcZ2HXCNj8UotYc0ddyXNqtZegQTZQp9
LSdrcZSNS08ljtdS92sA8JV1zhCNsCyB9BZ+MRthHjv+1pNMBfhMjBk2pUADgWukdTTVnv8q9KXB
kmS92qrH4ZFUzr3P9C009Mm6GmVgswzO5g3cCD0iged0uYFA7yxjiyY/GuYqu+RMmifly3yfmLUV
dmlV39SJaT16vhzWk6cxt2prZ6u5OZOTAFYCGA4TUmLWr7TaaqDg6v0t8XX2u0y7QoaGbJaVGofg
3nBQQVUYqzY6Vv4HJ85TmwZZY9+IuAVrbg5TcFskpNVBTKkjDKlXPlUgt720daRbzIRsdzoE0vTX
oBbaD0yBpiSYhNlXLFtvx7S9iXrqvaiK5/6mWYrmRsxNuyOOytxNBOFFi8M8eRyXYNnGRud94Sxg
PkxWkM9ATEmr8UtNvZQErW5i0Tw7beGt8ancWiYRILw/jJp4Rvx+Z7LkJWEu8xRefKft3crsYQsz
J7qYY9vlPUO52iI+iceDqaaVU7O9zfTN+Wja9HBy4dzEnE03RsZmrcgLyJHSdF6+stqF8wfyK3W2
yAei09c9kd1cXoOjtZsoZj6+Zb+rNoOtSA2T9IK0zPB2Zl3418iNJ3YFL3vhgOYy4sqZ4LVzvFMY
NpHNCHw4nkF+5R7DhRHxyYaJWTcIozqbggwkYc3xdeiBddJfunO7DoMI8um9q8+gPEHS85zA6OHD
EXjMcpaUkYswt0JnWUHtx2F64qRaEcKij/eDXiSPuqiLR9vkDGijkLIjZuvtdSNkcFyEy2klceK9
7jUI5xIY3Ii7anYwZmTxPlMD7WlIovkhl2jK0A8YmeKIGdQ7ml1J/2GVudcHFJCApNBGkXt1FQ8k
OeFt7w5OgVwFUrR1Yio0n4OWyRMe2iSS2IQOaTUu64SD//PCWC/HOJK4ZAUpMzuD1TJ4l/ahFJ7x
lXRgk8ZuUURtjH4r9ErAbstg7mfNq/ACptaqVWQCNNby2qXkQHrard8wwQhIHFghS8aa0zKOrmU1
bnUi0iNBfOxEiXDMCqNcF3nyyG2xNqQD2xGtObWysGGGWpGRc5FZp96xX4weFcY0SKL9hChwHvkM
P8qCC1OODD9L+qEIQvFP49M9INOxEBz4mzTBOMyU9TqdbfPJ6qC1Rv6EHRzrV7cx4BdEizYBkhbK
Wi31TNPRLuH9Ycdfstx6mTVzYtKCCqsM/G0QO9413RsRNW4FaoSP36vWe2v6TPEDGG5312jxfGBi
p59SWgerIRntaPE7trk+zfZZ4/mbuZdLBFTKiWZb0RbBYXSuQEhvApHP147Om8v9Yp0tsqROaDrJ
9ANZ2Z+q1n/TCPuLY4GiFJUZQgWw8QTF/9oGi+mXZsrP9nnZU9ZpE4Gt3UI7BcivcO9tvWrfG85S
FVs2+Qt//8P/AmDgh7u6iVcBVTSNtF9+ONJVRr9Lk+2NiYjeJe+IociK9NoXgbj7+x91sYP8JJ93
qGd8fl2qX/8v7b4M6acLn5wf1Zgk8/GMzOCQ56T++Puf81dfCj/I9rDK09dEqf9rjJmo5xnpnZfs
Fb7+Dfw8e++qz7jcTN60nUAXPwQpMqDZLl/xdlNRjwspJxo9HYprhATV+u9f0l9v8UVajB3BYxiL
QvOX2l/pWFMlVQbgnmo56ZekPytHVxHaRQB5ADtg9z6pgftsEM/8+bP/R7r+Tw1zakSu839umF/6
RzU8rV+aR5cv+tE8Cn7DahvAw78ETfDo/MFOCZzfyBckTYJP8f9tHdn6by7iKR6mixsK7w/f50cr
yaVxjiUffzbp4FDs7P9KK4mN/ucnCeIZexcPEfIVkCnOr1jUznDzVmHNPSyOjiyjKBJ3kKENK52J
lWsPL3pSevDnnfoua+bqfJGYh1iQdKJhApWvDUyK97kUy7zuzElc44rF6OpqALYDTKxTkFkHWSkD
XW6Gw9HxwSryXAQ2U1OBMGZOnfQ4FGN9pSdo68PaLK4aWic3Xm3521IP0m3sxd7WFpxio6TUiBFk
KdsuWdrt0dK7J9VfZpNLn2qRpcCWYQQmBY7o9PEr7deZPRPaeWQRgrnNtcuonUDeu7q17THMtHHa
K/1NiKV+RUfnnxZhxZwNJ1+y/QNLGNHOb4BNuNdjPPmgxNyg0KNLfN4eoZi9E52pvWMYar97TRZc
W3mFfzsuu49kMuOW0LXGuMnSRl3Cgbo7u7fHA9ZjDMczuwKB9rmJi7xG0uVgGUeeayE8gup/TvQq
OfbNor1TYXecNZsa+tXSVvs5a58HGi/kI15I96k/PKaNlPe4t4ncKrSle7tECDwzRhO0DhxEGvQz
coX2M4Be6VfwRaHEhaaeUSk4gfCQuhjdawseDdCHPX5hlWcMq6rircik3AVLJjcGFdj7oqviKtO7
a21JnIPoZHPo4mU5EtU+RJXj9RuPGHZz1SHUwWc9KxPLqJmIZ2RiKFC5SorvVmo9bTSrOM6GF0cd
bnLe6BQwlTZidWVkjrbLHT3dTm1cPAAHTr8ImbE30xW00LyQHL8uKS4NlHP/h70zWY7cyLLor7T1
HjJ3x7zoTQAxMoLzvIExJ8zzjK/vgyxJnakqk1p7bcrKTEkGGQwAz++791zQkJhM9RRmPJ89PN5G
f+kN6DIUjgk93cySco9o4eaYhbjavbEtIgYXnWGOQoXxW4yjlnFjWvmZRQaDrEqi4jamCmFj4J85
h025+FTY9UArnPxSdaBjlKZLzpD5iJETFYPFLhNw+BwgXViciELjUz2NRoXqY2KUybAOlRD+D0u1
gCvDJYFxwSnkNSB49y4M5sgbHW1LQzBOuHnwrca8jjN3+EwlX3oUDX5LCDFa5A9tP2Nui6YrcrNW
C+arK57cMgleKV4PtRNW9jrZuoUtv2CcbftNJMb+fqAqCn7EnMq3DqkWFwQB/zvZF/V7A9nOc6tR
fqS4I/F4zN183wKWdw6UO44tsTGm0ViRFHZzHR0CmkbE6SyQOpswwX4MaMAnHDKCZlEoYKFnN0hN
VVg474kt7EtqTrNA1UvdxwVbL2ZX0hlrKVw2ZD5HyRIeR5F/wHFznxCdP2lirHyravSL7K35q1k1
ZEJaOAPFNnCC4jUJ2cmDPklYRaMwNG+djSeK5HVSHZ2g7HycoMzaHdr5ee3O9lmW36F9gsGhU7vb
srYGFsITfOsAGfTwmHAqHfoWj2UV+waW8e0ydvSiltI+maKlwkOPEof3AeGm7HvuaHgHbY/KcrEf
KM67V4Nm7stYpJOvuV1gbA27EW8qjcCyGNxMByUqusmLPE4421bZMZwphsc9CszQLXVS0k5s8Mba
efJCoXM9b2qJNZybWdAfg3DCp+1oY/WOQAwz3oAaeqgFlPUNglZ7YxDI/1yaNu74ViYDZ99Z4+ay
0O9XcrIjf2kYw05zovrdGufxa51F49tsFPKic3jLt93YOjNdeHMTeG6g18zSbpD6dJ4RfovGgHYG
kBWeFNVDmLaVzxg34oxuYipD0tq3CvtksLX0h6JAbaY8mbE4Do5Jym2zlEa9n0T+yEG937cNU3/M
TIPZr6EggBKKucDlP1jbWkzLl0UfJtg/kjb0Uu+RecuI3DcY5OSG8F829FdGVltFR7JhrOKXRSO3
d5g5EKTi1ZlTTuk4G9lKdBTtzm1yE0zIk8pNrBuZgH1ZZNbcW3km7tkih7fcFieOAulyZIx/xthR
3NfAYu972QZqI2L4PyModLqZ2VluCvTY09rP/ewU1mqdGbmsnLgqbkU/5bdUICHMhDlFb3FqwOYk
fYApDc8wgRRu2zztyCrO8XWv3B73rg0OQW/z/DpxBT+ulWowYDJcSy3YTS51Fkgb2bTWmf4X64Y8
i7qYZhFge1q64MFwGuuYxOn4iPnBAdE4YCfRF22+KbSwz/edVpeQNefg2qUZ+4GIhn0M+cU/42Rf
juPcmPupg/AxBfXyzsF8Kr2FhOwhlBmYA2PGg0jQaVt3QU/Fhsn9qI/lcqW6xT5GMVpMPia3ddaz
Vq+VfhOUJJ24yaaUoi3BavNXl2Yqw5IaRcPmWuvL25Balv36fj425STPVPyhihuavU9oJ7wB6DPg
AFMjWTR3ib4EHe014Dww0zX1RJOVKTpK19FT78DzjHt3dt3jAOvpuQngj6DtDweuJwuqRF82ODpt
jPftSMUdAMhZ+KTdIuxfulvfjbrIWbAkuutRGCMpBY/pIawz4wZrVnBZwFMdWx6M8aZS4zVcuM+i
hDsgW12VG7M169cYD+y7GIP02JZatQcXrFFzN3Cr4eMX8ZA2Mt1cYQT2Lh6S9JbowPhe2fbop520
3lQZO2BmCq68aL1pAgdS8X4ZR3PZNo1S5UMxu6+U9qzEnwiE3VXd1r30ROGoCOl3dN9iLUgfYOe2
9a3VsNA86DaVQ5vFslJqzwmIi7OyMEDitpaFqGlWogxxDbjxzpdqmR+aOvQnAufzTo8sewdiy/Yi
Wl4CLwnHO2hQhIY6IHo5tYZa9GpWuhl/KItL3JtVKsxtMxIFw8durb6di5QTR/d9Gaax6E98ZFVD
jGIAdNV+1MHyxtg7vZBzKj4nw6SeXUJ0j3BgqhM0uMe6sOct5dD50a7byrP7AdJpOd1b2fLGDfAb
1dsfSWe92f3YfyL/zARhNAQbW7N/s10tOVi2k93WMtuORq6d+ePAFWsoBi7guX7TF3NArKlqIssj
9nWKTfo4OzRoAXe6Oaazh/c9qjdVg4v/0bH6ZgvHa7mLENBWeNdo5trmn9PTd9PSX56ebAfnz5+c
nsqi+/gDe5IYLV/zm99I4DdSVIm7FDeI76jI385PnJJ+EQYWT8r4pECx4qj0m/2II5cQ/Cfo5fjw
0UN+P0UZECvX+L3N6YqqBtpR/s4pCmrlH05RlARaEs1D1+lacZBffl7IV9gxVcAwd2Nja2ZI0XJc
rxC7Tc+sCZIfbHrFCvyVIT2UazfWJVSZ5sGHib60AYEzds+5olpURPV0jJYaayVLC+vz0kAHoafU
McgeVPO5xEydvcSLUZ/LdhFfEj2c3I3sUxguUAbseR2CBn0fa1b5RCTRVse2dofhRPahGS8N+tY2
Ag/M2IT9l7iplV4qRBZP9kG3weB6Fv1cxRvK2EJch8WifCyB7wOTPHfpCKPnMLFMmxNHfoW8gOdv
ptJs5zrIHVv29jhJDSuKLxmA6SMrAvugNX1zHMo8wbEXF9PdUGt7lcCKKpX7MlJlvo+0rCMnEJbr
T0UY6GUyuR2Q6SCoRFQ/ciWL1DWRIyWOXhl0fl9mCSsyMOkmj9gCoQWJuGmR/AIsiBv+8rzLYuk5
eqnYBJm2tLdtNSbW1Sht8zPvCM3KrZsEzeNiVcuRTq1WM67sJpzSbdJAzjFGC4tU48Bg2MIVGi9U
lGbxishhWSFFsSNPlg/SG40o6vRDwn4IVDupvWro7StW9zQILZ5kelWs76O0T3jEu2FDidFR5mTr
BjYmbkKqkicuPPzvFGnbrvxKoYkOupL3bQuLkzSENn1hqq+Sby6hmG9zINgXXauiNXP5ACdM7rjh
r7hvQNP2azVmJHqAJQznET31ZJHO4o1q0iAiBtAnxxiruL5tsvSOwbrZCvBkpF3S8aadSYeJOE74
WOKV92dgCZT3SXlykhR0VigwjsVxuk/L6EbGQCI6qzfoYtcy5ccu2xQvq7vw5DiM5Z6h8257KnGC
Azt2TLaZPpvHfBLNjvtr+1GqKvusulrqyKOthbW9XlfzTuCQ6OgAIm2K1pWnFmzQxtDDDDWYJNHB
KPr3KDGGzltKw7zVeAdNDmFV+B42hrgKEyPfkWvX9jj3yEXzcheMEdVeLnK6K6A4rtEIpkpDBvYm
r53Vk6dEerVGEnEWY+5gyrWK40D/93XcBQkDUZcZZ8tJlhNTGNbgRLCy6nkyNTpxa0HGrs/CaytC
lPB7wzqDiaJScEqDd2YCd0dt4MCpUje2aZ0WJ5h81ROk9WuzsM279ZON16wVPooAGepaArfiQMlD
u/McvTJZRhIE4B2oxLdSzuKmNNPwNaxiOqpqg1qzIc0ObYaHd46tcJ8kQ7qn4ybYkPJrv6gRinxl
Ne5DCFd0Y1GqeXZS+3lR4qbQExLqZM/OYHNMdNqaU3fSji9mDZIRPNo0kkTU1VtugmNkzbqUKJuZ
0O/xevZbSbnZN812SAt1vBu7dEm6Y99ln+mRcInwY4rwtX6u3U06WMZDpY8g0Mhalp8NZw4fyTKF
AutRY34inBPvC5LnfI9KO+JooIVNr9CYepqlR0FmbwX7ek6SJFuK9UD0FqFzmEyL0vGqIJ7RW7j4
gc1JPuh9F19JN+of2dBhlOb9eWyn+o6PNXk2NZ9dyJSemQbuQbOjymG1UNsnp9GoNHONzPkyWUV0
62ZOfMD9V3xB23L9TDD6bCoY1dZ2Lg0wX0IeAyu57wBQ4TIlyZjy6X6QWlnl7NBmxfJVD7yxwxou
0CnmySQsbtt1fJ3QMbJhPa2/l1kIGhhQlz+NEqcnJVPmm+mMrq/LarkvEc48jpPjCxkh1Hs9KS8q
q1A6Bnv6rE0FkVWld99CciesXeplW2ZRC3Ff6a+KbPbNIpGjhslZbufCLHcyAw+hyBlcBdooHtiU
LanHAi6tdyVe0W1b1uIDDnvjG1Nf3ieGVnakUyNoDuDhNwbrpG+ED8ShGAr7TedEoPkLH63twi3H
izBkWhsQhKNflNz5nRHZw3YG66LqJfS4InV2ZFI9hTV+DGc0o1PpNhXDG/kDUKwcBGc3mr9CFese
TAK7iVerIPJbMUNziyRxrGCiF1JKtlNLM8+9B6H+a54TqGbZ4HKKVeWFhHPiaQAWzxRdjneZrW1Z
u7uXelAm+Mw5joKjbmnpJRKy9iV6yXvWDoCEIbte7MqBFDDKFmeBFbn3hjshFTp4HcopiNllBwbN
1XTO3zRDlb7kbL1fQqdobkmnBM9VGsRX/UTvXoTX60liF95Gokz2M271bQDoFZtGQWchHE6iVxzr
RHcssmUgBm73TwZo7XkTGy0OWVbqnmUalMmLSNzW+Mf0rY2+cSpGDQU0T8f5ykQ7TL24ATvolIbO
+9iNr8ZEzMQcyMCT+WbvSYx7OclYWp8V31/zyqCIbym/GjHvC/dlXkyC18bCg94pEPY2bdhCYYtT
62zjk3wM7KEJNxo83pToPkKF74yAc+qy2WG+Apj9z3D8/xqOdW6YfzYcX3/ns/sf6R/BOP/6wl8n
ZBfOOosFZjxr5dyo1Wr/64YBzyoTMrOzoD6LqXo16/80IVsu/1kwCIsfwTjmLyvAhgOkUP/aQfyt
Cdnm9X/Y2BkcqdeVpK7YNphAnnTG9B8tq4brVK012eq8CNMIl33chnMXMAWKTQ7uRuuosqhyrOSb
wcHcuGHDubzBlCa/qGJ5aOkSOGMv77dzreW7cK5LDotLeynD4oD405+cmgZddmDWVdkX2gNFHdWK
UteuuthZJ7rcehggcT4lDsopePVE28uqLjd5y5PQYtoCbLrIneJoiqdlCHQUChdljK8hxxce0ji6
WHrenJSLuhvVwd241DdTW/o27+M6nssD51h941gOzZ6ZdZJGgBstdf0orL/0pmQHn1Stlw9N4jV6
MV+w4bFhwE86DeJzpJEvp+5b2wIclDvYzMveXO1LRaj2mPKLF3cekm1bpbEPD2iLCe+mSWdjC8MM
x6HqIITbOYBehNODnlu8fs4jkXfKgJTpuIe57eN7uB+ln0u5gBZXrjeW8/oYrYYDU9dNM7vCqwnh
b/OaABGSFXQxUencykwd6jlDxJj3E07irD3BKL1EEiIitMZ7V+TjtmNN4+b9gek53QR4qTazi6uY
+U0QEhPQyRLpkTN7xnM4ewOD1ZYnWud3PC39bO5DrzE1a0uH7ae85Tk4Tfmpwlh6VTXx7OlM0uVi
YwnJqh2IlMJnDUQSGyTdpjatgwtho5tZpTipAsiwBNrzrIPdBbRq8njjYa/3xN6UQb5bw0h3VLD9
HhGPl2MrncFHp0HJm6TJckKDpjkJA28rNijTCfdTbzFWc7DYujJ5r6bKuKqJDILaJShs6rXfo3HC
Jwj3kd5T4Vqz6soyemqT+rFsrWdnWs6JGu1NyDi00wpgr1Is0d6u8o+FHq+ENtN9UgYNEuCIZcpN
tFOt3K8GtjC/g0Dk85l4zHg4WSMfCacJ79D+y10fImSABIW2E3bgi+TiGW0msCaZx1ol8n02Fuml
TXs1aemnZTam7RQ51TaJk/lgFqDEl4WYIjM8IeYiqX07rKhTWRjxDAymHuic2k9l86q1XQ4rZgrQ
fVuCZDT07KXDX7DEoL6ziGjsAj15apQVXgpB363ufArdVtDmZdeeWVnaI/UuiKM0zxi+ncXxfT6A
tKF9VTBtRvOe9VnzKArypFjp0/uFXJfftsulRY/acQYZt0wE1m5J+9w32Y9ui4k1Tqc0wcKmWYjz
pPkWuT9aMUGKwJpOxa+dWEcJ3BVQljMc6DHAJzqoK4Cdva+Bqn/CGsW76JCeV0B/PSt0RygF+JuE
WcKYMhPxxJoPc7QmLa7cetl1UWV7bs85kxGqeEghaOB36sVJdu1o4hvj/OuNWhrB9QLXM3WQrgiw
plt9xhTFj9qfba3Q+YfauaB1Z48D/1oz0k/xAESH/SHp3tomkOIMmm8vvJ/V0poHG+80yoH4NgUR
RYQU8Z2oaQJkbHUPBAaPeOmsk4PYuopk91aQ1NsROjQx1okyHJobfcNAqFS1+5k5/T7mcAkz/zbD
bUhXcCz3c6x9zY1l3mUNp4vOPscj/761i/1ozSu1tyigBmkNiX6WAXMAHA/Ql8PuJ/6oS4bZ0IGt
XqrpYK/NhVlqa5vR6TuPNfa8VXHJXhCzoidCq7nMyt71ufpwa6w9Do4c9M3WfAhUFHq57TK34Wvl
UmOgrb8OLTEje0HVNptE34uMQykHRQq9MzVsscG1CJ0pSSI3dw4R2eIyU++W1Z6T0IDHZE7Pzkiv
MiytzqOs22LjGxePrju8ZJjw/Kqyv7LvYLoL4s4bw+xRyf7KNrrmunLUKS5BHZhlmdF2QCOqaG6z
KMBmrEeOh+HrW9PAgohdXEzm0pd7w+g5FJtzsq0hap1nqAIwqxqHEZ5TR5aAbdKjd6zo7uNs4CPO
Cnm1WEm/G9Rc7zong3zs8IrFsjzWuKRuIQGBw+AhNGnBRGQIeQnzbbZrepMq6dx8WDsifKur46u5
bo9hg+ETCUjjHE2QN4t4vJB+s96ydHodg74/2DOB/l6RTg+zaNerbtxPxaTtQLiAHM4Hl2Lr4VaE
NjQMw1h/cLg/dRt4nYlElbM7h1hAcC7eTXU8brihZUcZaS+9S4i5Rq7QObRyL+z7ozMsNAnFcUMv
aWAduP/GJ3gS4z7UuMux+DSJvzk51eQKzWrRzV1ojzoZ3YqtiVHJfWgnL+MQm8dFcx7nrr1qU+g4
UMi/6Vpln7IiC1YA87IxKkvuTJyiW2nk4uRUgo5xiB4c2Mtgx9aKYIQzL3rxKYMW2T3RhBwQVABD
TaXYYcI/gwOR3YhTjs8d9FJ4OklNaRrFc3z6cgfSR+NiEbQj+P9cZIT6zVY/1Ij6yEB2RW/Uk95D
VWVanuemxSpgtiV37xSkSDXG6YZuSfNeN3Lbaqizx7tTnBp9aG3XS0oHc8imSLJYi7AxVc3SNJd/
xuv/33iNw+VPx+uv438dPqgIieIGc9jX79/0+OV//lvp37/y1/na/u7IwQFG1vUH946tfjFNmwCr
cLDP/Dxbm7/QZSmJQDH/fc+G/Z/6rH6xXJN/DsmSaRiDz9+arX+arGnixT+ko40bNHk4DvzLP0zW
MG3JCxE8TFf5VV8QRngKP//wpvwHYyFepB/G919fhE5GOo35Pf+tG7crB62iNXU5YCuvN5PdLn5k
D7ZHpKLb/vlL/XxS+NdLGbwttmkIWp7+eFIoc476Sagvh2mIu02cxehzCnCCXOWVjKrOQw6QZT8t
prEBgFX+xcv/0VpIWxUa67oClJJAn/kHFyOAMcccLYW1uhgfVW6/OPi///w3XL/Fj+7F7y9hssug
jddy8Ez+/BdrGm3u6S+pD5wJHidTf0brLL1eYX8SS82n9PdVyn/4y1Fc++8vh2GMqmgY1shvYl1e
/JAW1EPg8RMK28EY9fpEfElyMnK1/JSaQX7KwPYZwVjjzAjrTnC7597GQcSF906nBWnnFrrNxlah
pKkxQaqGZ+QCvy8HF5wEhrFy0yKmF8wWslo1LXfTsMc+wtrQP6mEm/3QdiQYHGw4TSfU89y6NAfO
LoMcq0H9Oqp7pv0o1f1ezNPzjC5/Rs4cww3HyQbNpHbzRwtb90s82yVuFNJIQViaN2ZXpPcWlPjN
YPDI7EMst/1QyE2Yuxwtnb5mf2zWu6FfliMO9QvwjmGn5/k3w87uy9j4jIx/12FBQsh3OGyI6T3k
8cRLJNYW6QMCJvxVP62Wek/LAUGXQvpmm4xf0Xbro51EN9UM3jXmnLM1VN5vx3K0ridIXaQ9rOBE
mvnZ1mRwSiJmC8ScFRU3fEWFch8nqiT9WSYJkcM6fOx4jno9R0fhDiGVCdg8pjEYDmTcgm0ipuiC
5u+Bat+IgN7yKzMUVrpFaOtmLxzn0CV/lwBcjEvbfaxtQNaRQ/JNORQvViJJINJWknVBMTWN9WQU
tvYSpUNzQ8cJ38eh2PSxlCl7iSbuD0I38VQ1TZfzV8WgF+R1cykzFsCqqNMdu2g+InmNGaAsZ48j
i8Rk1KvdEGfiGRS7A3qMWU+LYtW/9bEAl+mJWZ61xQ4f4wi5kkYUuQnIP/gRz1l2tLF0eco3wTkI
ouauWpDWmDTPATDXN4ID3aMBi+sA9kJe5KRbh7zgs8ASOt71XTHti1x/ixCUWWrFMJMSW58OBk0t
dwLz217Tq+ayhFp529OUoPBSXUgLVnQ0VJnYNWNSv5WWGYYbUmo0ok1mvG9co78i5MBRdoms2xh3
WxDo1OoGnS2JF4Xkk9II04P5Mg3hyciDlTAw3lVz+sSmBulsQGIwAH1d4SBPN3HExDz0rNm1YJR7
pWM/wFuTHWZASkezausrTq8UNonQLG/ymecGn2hWmxsNDs8d9WjzR0tOw8u4aM5DmKBshJba6xP9
FlammQX4GyqFSJzYfi1qXi1MdbggLkE+j7kcGCq9KqdJc4I3J+0K+opCdx8GwXg1Ia4jp/RIg6Rf
9+0gAq59FuDKEOSngn7ycjNFZrWy8bSoSJ5XE8EuSCz3uYRGhioZF75lRx+4J19ciRk07DpxH+MA
O6hBf4eFewYMHz5QgIDBxeadBut06oyScE6QNhtwu50fjEPq146EZbgkF62tqztEzMyn7PQLBzjA
sZFI540ThMMxwPCylZq4A2e16zCdHBKNBFuJo22/pHzbMLDqJ3o1bQwh7aj5Vd1w0iP589EOGTjD
qLK27bSrq1B/NM3K9QoKl4pjYQ/tba9VOrYH4Rwho3PikBG5hoEVZxTBsdmYRrVcB1naMeYG1fxU
chI+c0NacL67WP+V+daUOOiU66xnoKD0sirAUimiM5LxPuIBgB2WtdgmDKHwZ7ksrtvcOWaDemKY
B1YWSKx6JD2MxkFnZ6/pB6nmXMIg/RpglcS1027tnt7AXhgVJAh9uKkMaDEbChrYvHSzdRPPyXSm
WD47WrlCEXLi1C/HZXwtJ7o8mYZ4ZXQGOkMyiwsIJNa07hi17EWOtUD+XYw72nUtMhscOWSWJ+2G
wkMdT2PUbS2iNFwn1vQFVAQ+nrpAQG4LpAY7eTYjE3+WSxDMq5tsRWBPBiwI7h6ZU4PbWGzjnOnx
WGPYWYabvHW0A2Z3C2SP/dmWOsaptWDBrwMzgefj2KvyIfd0sebbRhkzdLKZ8uPUgH5kudGB4DIl
bVNvHkzcfzdWLNNDpIXhu2Nu8zCe99kc8fYP0fQkuXNx1CdNypuUPeoOWSFTSHKOWpeqB6O2thbl
xi8dUfT3iRP5tdVYy0tb6H4JHYm6mKpprntZdSD9OLV12A8PeJObDYhszefh+a1IW8UCrkl3hHzb
I8/H8TgkOveMmiibdQXrh+W7r7K2/9dc8Y89/68MJjpwmR+mopWt8+skvyJ5/ue/rxnyT1+b9uv8
84T//ct+m/D1X5C6abUCawMPfiXB/6ag2yZTPjc0G1lJ/MR4MCQ+EqIYjlrHORskzu9Dvu784vLt
oNy4CmqE+HuEG04Gf5ji3FWfNx2JFZGmBC6Hn6c4VTc84kAzHdxBIx9ZNHq3JfDSpFcRybArdt31
8BCaLUAFEUc9PaRFdxdVSJ37FCRTCmRsgCpKUI40X9Dr4H8BI6hqorkGNHN8R9hTwAhDmgpdFnAL
LrzrMJWkwHC6B4+TKsxXLvuPDPtzyLd6HLg+H7q0XO7axn3EBA0+reBAsCmtLGhpyiHexJZ8ufTg
eAqgfg6uBovoZVd14tVNcTgSMo/VfVGM6altsAmUuUPUes1FjRbrO2C203U+lZC4NCnvg0VpwMc1
91urGpiOFTU1CBA5kddwQIKkNzSFHDFAdV3G1vUWo03gRfFGpQsJ98aOPvH3jz1Na/nqUQ7N0STp
5+w5Erill+T9cQHY5sGv5wtbc8TLrooVf2ZRzeq+UIhRh16ROeLVzmFgWNXgeqZyyeBjYz1gqMXq
ovW8ugR0wYGeBGMbd8jsMb7WTdS5DczLOGadPLYccKiuYgZWVai99b1OorVLIL9YvS7PjdO6Yj+a
MnueU0rm8Nb28rXJ1yE6nYjf8tSIphunyrRvSzS63qTXwSmNpuiLxs3yuiLvsf/+87XrT8Unu4GZ
zP8eFby3YlPgS/BsC3PrTjR9se/7eQCLWi3Mj7zJOIM7ijSHlYpBzQ2PLTzZ0abv0nQ8o3VE0SHI
ZLocLORZfReZNow8fVnHjQRcECz3Mj0tRnkcGoOnJIh0bpVxqF4rDaLUTlazA9U0NThPdjmfBbC6
p6RvW59XByjbtmaMmZqmAPwT2XOj6dlDVDXza11F7dmBJ/uYLAMxQNKrls8gqp/wGYdXQU1aIJlZ
wpCFMq84ssaeQ34aw2LH9D4ADvaSxdS2Jh2pxR7IAHQGs8ZkApveWhHZWA+Lcd47RuvuM1Spb6MF
qxtgQp6XbDqWCfqPwoG7cxPRRddpVvK9XPo8d1YJy1Wx7UC0o0mxQXumtCht74PcnS/xMqaeziPE
XzoRXHIrj6kbCEdnLztX7hoqFp8zpv997tBujr9yhclOXZw7+1SK9qErjVezy6BumuIFEtKceEzY
q1MDHO1CB1t2ycNg6byWENsudhYw8DZyHSk/YpM0U8L0650GnGNW3rbWkt+1mg4qZZ5hLcSGPPVh
gZEM4u8Whco4APvttmy6lhOZdPrOUlxH3piZ+hN+JQ6J+Uz8NmgsLlRiIxujxS1Em3LMhwqD7K7o
hmmryg5AqwiSxevHVgNxq7cXvLi4uh09vSq00bzFtwHGOWIZtBF2K0iB5lmQUMzjMiLQtd774yTs
14EMxyWQMvw8N0mCiFMeadqjdrBaATGWbo2bRLLP2cyJbhWe4Gs+ltrloteSBlB2WOb1Qw3PLiHR
IyNqxwYKCLS0WJ5I+YvtktTR9cAh4bSIqnwGXjDvVW0LYDcwA6gtCCsBjGVeJOJq1sF0jIoW7nBB
nnbkRsGyLBuFP1jWfDUGMLKiaWlfXH5/nVp2iFDHKi/t1reWsDn1xMM5/1profvIJL7J15b5jah7
AD6RTeekjQboNZmKHi0wO7TdZLhZVJMnVwPpKnZnTUy+JlFsDHWLlWLjDtM+og7XG+f8o1xEvWVl
pkgi1fZ1OffaI9labv69ipadO07o7XaRdViDnaUBzYVTzMZKw3zIzRy7L3el1uqDt+93ljrtgm8u
tdinrOQKVZipyCutV1HFLvphwl7/3CCR+pZGkonQA4xU3BY8YZrSKvZTyO25KkCfcjmM6h7LNi+E
P2fySZbzk2S0VF1GMeKFiEbNLa552s/XcGnL2S/LpdsSRVoujSPNq+8zwD/j0l+MSxhVV1XrdxHp
38alw8f4Ecc/jkq/fslvdlzT+MVZRyECg/rPICwu/l8UQhOULIenM9PS72YDpSjoIXpN2bttGJZa
/b2/hholsxLpSIpzdGFL/svfsuNC0/pRX2N4J4BssJpdT2gOKwomuR8FL0FGj5LIUD20bQUcu1py
tvuDxBThLRlFUpURNndRnDWfKztVYCtS7V659Qx9QJsrbLmO6fEQhRDEeXz0NTwIHZT/rTkN1Vsr
BN/H0taorzaUMTjWqUpX6qx+LDH+7Xo8yvTe0hnGbnLt6ytGP+aq3ZdqZq+Z8OB3QyYcSq/6r5RV
o7NFxmjcwMWJbqYi41YQtd344YbV/GHr0Rz7YcTb5kUhk9+mYWLZ2ZmoT9h1q09c0skHF9Z8S6hG
+spJ5jfYvw3KRki0T6eT8itGHnozQOIBNxCSsgvrTnYaTyn2+Oqp16flr6Lg30Xa/5M4v/8JCEsj
cGK/dh3p/EFzzBf6TrWgtR6WRnePJoPrtlJTQ0KuZBONsFeT4opV7t6WdqWgsyh+NTDkpekBphn2
AO/nrW2b5dFd+uGyBGZ0rXqj/CLjVHsparO9j2Zt2lKOmlx6s4NFQCw6e86ywNkTga52fauXN47T
PHWkMg5mNZ6pLlGPKlJ7emS/sN2pP/1wkfwHpXVdLPyg6/JLI1ivH2BUeIHib/xBia9wfoSBqIoH
AxH7DXFiug2h6bxKZUy3ms3w1Sd6A7RtJF1K9k1tcq1bdu06I0/9JD5VqeRtcM1xugkLIz2NJTfY
YOb/1bpSX1VVyiuK1sebqLfkGWEXJIYTPIfGpPZuHGfPaTEOHmXX4hAXI0qDhlCeDrrlg3djLBU5
n2m9E8OVWPQvhdWfx0bJQ9cH5oFkXEuEhU04qk26ncxRbUXlRjszfssqNznRuzB+JgTEcEVI7XPV
0Mxuz1lzaLoVHBVFg4f7mTGPLjkuyvTaZmfAdZTGEKu+EL5Jmo21jgx+ytPjyjFwH8SBM/X/y96Z
LMeNpNn6Va71HmVwzLhmvbgxRzA4BSlSzA2MEiU45hnuwNP3ByqzWlJWKzvtbmtRVlVWyYoJcPzD
Od/ZJEnXLLv6cG/OrYXeZwg2flmS4FHyK636Mkmv4fQ354lF4fNEOsWXIAeLRExG2yHQAG100LPP
bFMy5QaimVzljJ+uIyQMd5gtx2s3a/hwFtSaYtvIOT3A7E6XBiG2LkbS69uuF3yhVhITMM+WQ7nL
vWlk830xqu7ZkRCKQrICzwA3QlbYWt/8+tr56cxyWd2gpkFvReBXyG8ZLoDT74b0VjxGjLV848LC
FmR9SE1u4Ax7mrRaOpchXJOIxrWDI/WzgsO+7vquntaOmuQbcbZU/JTlJwb4zbPfOIQEyNzcN0H9
UYfw/JrBKz4UzNnXjHzJiE5Hu9zn/PbninHryiTKfdu5sd5ORWVd6CXp4vyJj0rtMF2TIpKsOa6m
3ei41nKgUt0DI+/F1u3Jx8D8A3Mt1fA1eWrP9++XbY18ap0k3nTdgiI8Y2COvgJywbFnFJRGjEif
idVsbpIuoQ8tcMDKjY0R91NpZntUhmCWB02SBbKdwdsTQ5r52yyQwW1gNtX0F0ufBVL73a27fP30
9YFP88F6j93Tcmt/9/WrRnQGhUp0sfBIGJsemO1qahvjIZ2p3lucTebaazrjMZ0SyhuX1J/6mvwh
qfcBSen4KLkHsQlDOT5BWq5f0T3TcYWNgiS3kBheWof045UJf/pIWWvsfn39/KsPgLaXt+WxTvTR
HP34AUri11ohY/+Se5RMOhX6htEm4QFexHCKlfe8i5b4WNfyOGJKSfnmBXAWzch0r4Tyoq/ce8D2
ral6hfQuzp7S2Ula9RDtmjyIHnO/YWIoyxjI+a/f+/vz+L8fFu9fPowNFm4WKzELjOaP710VmEJn
R7mXCk0Dxriui75yNRPJ3EIxeRJzMl9j+IBIhrds3783wRautWNQJ+PpfWZADHd7zN0lbMhvDJYp
RbgPldOzsmmG8nYOuuTsW3x+BZmWhpSu+OvIY4KfCOtxF6nhiOAuGNdZQ+jlgIKt3LPfxBwOzHWl
rZZjaBiiZ2bf6cEIjOBEuBOWlwAyb97ZMRBvqV+wOc77Vi2En0lCQMc8Gqx7y9JfRNxxXlmk/yCe
qi2xne2aEOIq+yRIdeukXTIMzer6mDtj9IL5uz1SE8D+XW69KDTiN5B7ctyCU+LtlVl0mnVrXXKr
m4ZNkdrjOrQa+WbW3bxLTRm9cOWNX5y8WE6Q5avBe30aEgppx6SXQq7IyQeCDjW7VWSPZm0RF8D0
M2GykX5mzVEdgULoI4ha2ouWbAXCNqyz1KrbuH6ub1Ix8yz59YVAkfjzbQjZhJpB4Nd6Lwd/Khs4
q4uhy8YGUqQgtB5Ao9Sr97M5V7rZT1Ej176M+ABylvGOUqx+JbKQzA3BmbTFfXuUBvsPxFL5qUly
ePFTYSbZejTSBA5TXO76hqDCFXeS+WlSZv6B47//ZCln/DIARDI2oecW/qYjLx5fAuXY9Vj2jJF9
E+Szdko7B6CUR/kuF0AgVuAMSBqLDb2BfOMftUN6iKoE/ZXEUYOBJtmHjWfc29xYCqiCObyBbuWI
zCARtFVTHbSYu73DXYu3KFlKzuV3RTHSP3c6OxA4AiNNW8m8De3pWdR1ubErEBq8H8lmI+WGCGOH
izW1SOXDA+d/tn2n2LTjmJ0qkZqHmSADA/cHO8y5sWR1zSoIk0bN9uqJ50DyBKUtz1eoVFBzVQle
9I4tMvE7WePFzNF9k+2PzWmw6mTNeInN+cUY1VLgYPY9mYHmUdUVpGph82evIxmA9cB5TD4u3pAV
XSNfFDlg/OeoJ0t+xTSe+UTgdY6zYKTKxzjuu2NkOjx1ZpHan6QdofiMhVdnV0bfL+VPSFJ8T/by
doa+/KnIGTeu+4auc+JkJ4m+nMU5xteJWZj14ypWrAQI+MGz7Arb/ki6dBJwPQ3zfVqGABMFIZiX
ltry0BtliKu0m+evlpcFx4CJypYEFqZGgRehMTTbWW2dkVlf0HkJy6kW9xCLV67CpKHKBKAPEjx0
M2Pl1hFiMHvOvyInvfRVQ4awS9mKyDbzcUiprLjx/ULeISxQax4GId9MOM337zfSvzvbv+hsbdrK
X3a2H/pX+X1f+/sf/NHXmjhGXXpGdk2CqNhlmv+HiH4h3iOSD13k9GFAQsI/+1oHyj2LBPEO8Pm9
obX9xXpq2ovnEqEPipK/o/B5t49+/4DkfrMB8KM9sh3KxJ+xXhwT1N1TMF0DRTYw7gSqnqYdbPHw
qSgc+5hpTSbzGMf1FUy17k1MU7LXiafvpqakQG9UdUXzoO9Skr22RULstpwm9w7NegeLpso1hThd
GekxI8PswkMQcjH8ifp7PYRjEDofJHvHoj4g2mQaHqsRN7aZR8ZtWDhjcaratGXgbmEqDL7iwieY
+aAwiOrxiL9FgIWIfIJgTqEfsKWoR77kB6OsfBplAs4cQiQVqlO+S8cGFwYw3+Rl5SquF55yYcWE
wyJN7S9tAfZ3UHlyExWF3De+NTOWxL/+SDclH+e+sg98qIpjZTA+KVkkj0HqtITWFTK9B+B30+u2
OcJKjAl+iYbXUBBX13YFM8ckA23hQepbh9VIZtI6pKewylMKTcBFkDtnCvCXUubYXFnfOPSodfWN
jDNo9Jz6CmdgZsTTgzGJAXC9GWdpvIuc2rX8vYVFdNiP32D3wowjsZCgedRli+MdFs91jZeg5FeA
lmoV4/HfJ8L/Tv8nPIqI/3nWtawGX9iSfX8qUEcvf/THYlD8A6EMzQG2Ff93Ttfvp4If/sPnUODU
8b9ZzBlpMUXq5X/+h0PABSI2iluPjXVAvPk/p13Qvf4/MqeXYdZ3ZwPTLQ4F32VnyaaR9uWnvaAY
vWY0zZhVSwB4nJiE2L21W1XfzDmd43dfzb+YcPxJuMZrMZwDO8ctD3/+pwEHC0I6tkCUR99WIIzG
SdygPQifJr6BMwjt8C/ash8HeQxQXPSWjMvABXHu2T/vPNn7WPjyTF6vEEt2u1nTghBeLbiNOfbK
PoLSautAPCJHth5//WF/nOa8vziTSo/Tnl+PDJ+fPmxjmB2bRyQhc0u2YZEXjBpyMQbnScyMJqI5
fIos868+8r/4iilIAh5MBJnQh3LZfN+I9h3uZxX4wMULoe8ytBZvIwAhoJtJyzjJnP72C/KoY1zF
RYQPzAaG8OMLpqZBJBQLXCq9qLryF9b5xKZyWwS28Zsdjd7Lr7/WZTP/4wXru++yR5SxfLnQEn58
wanD+RJHejwMlW4y7LtRZ7GXakzYqMopC2YOibgJ8tJhvJSJSzO65VOJSl8RIZ3NJY7Jzr8Quk2/
3Y7uQDjushVEeqM/kpj7F1cBdqE/v186U+59RJQoBJai4PtfpIQQGqdFPxxcH9bBo1GQsXzVxUxg
d3G1gNObWKgT26cpp4zsXfHIPThdjJDRmGUCmj8lXWAfIZm6r7HdMQOVXs61BG2ouirmQNww+C3k
aaQcLLYA8MVNQSRmQYSpOwu4rR0RDkabkNE0WXOwq10tbozWN9rtANX2qjYmfRE9D/soQTWzmtux
cj8Fo03WM8YYPW6DDC/QVWu7+s7jlPA2SUBu2SE1R+OZ5OUwujQt2yUyzNPGhgPbTQaiTmuWQnzh
KtXwgAUWag2lOByde11O6ozJh9oWDhsLeCQVGFGWg6DFlwood+yYd8IJvwuR6wdrcEP1y5BaREq0
pn30RgAt6KkYpgeFPd6ZsBWLddgQI7oGAR5uCVx0X4PW1BdytAnfKsaofrFlry8GoP9Ht2c+mMyJ
+0oTaSHZmkL94lU9+RcsJkAhAGHVl8Fp+aTsmJGk5h0vGJZJ9GSlWdZuBizIr/nA9xjMI99b64jH
IeRHm4MmfFLN7L56yKovSdyF28ZWrr0jOaIPKAkMWa+6MdKXb9eqRKk8rCVipuE6yXT3lqfV0l67
fFhrGutu36kxn9dGO2WS8idKimPWGE3RrzzkYcO2ByD8LEcquaDmPN1gp/f1toA66q0A6TivVRfU
LzKuufnhOpxDpnJPNWos2vUy4cpA8kAIOWpGcrkmfn57qfNY59eKdaTFV8rdXb9ojbRgHVcIIZDD
tvxIoRT2cYBHUq8UiayXRDlhjoe7AraxfP+4hYAZDYGzlZnvb5CyyW7dlKF58/7P9BE0uWIyU86N
WR4MPuu99Ptxo+Iw3A1NxwUME4OtYJ+p+tB1aRRdCZSF9Xrs1EBOnQ7CyzJNZ+rUBzar357pYHrT
Iwet3VVQZJZ+gFdi4kKO8GCPuxz2whItzB+wJRHmUTEjGDUFolHKU9cRg76nw0vVpomNKbrQKzPq
lBXqPgZeQx+dLYZ5INzJXB0noxkx23VzcqegAavnjq8f6WNJhFPHdhdQMHznlYELa12ZGctid3T5
nrvH2o7kVi+Ew6gMp10Ivb2RYFsQVxPCGKT2jRssssZRHRCvalSalX70YP6TUo6Q2rOM6cZxM2/d
+VJ87Eyr2aDL9FZA7QV5pbK/KNmgH8WG4v7WOxl0Fml3rN9J29ZXjIjHgxPAf18NJtiTlVnNN0E7
xG9Nx7GJrsA/lYn0bmqTPnc1zM50FqUq+ME1shf8MDFzjXru30J0uIwkjCFONlzcITEdvS43oTN2
KAF8P3qyy64vkd44H4jgM/CbN68lfTMUAzy8h0bZHNnCt7noWnNp/afM7d6k4L+sOJf1hccc17IV
lTI5eEbEU3pukz2g5PrFRfbwtOQzp6BvgmIxro/6grwielryXG5qR9QvGOZ0TiS4etVVED+lrseB
WVkZKR1m+pyCG5zX6DxsRgddsk9822YiGJoSID8OLR6jFbLxYgvxudx0fIx4h1c1cOFnz2b4PHe1
+K2gjZ+Ps3SG4GgXLUDwtaiRhdqtAGXlWbb9iZBA19u2JfvvsI7OyqjjO5jp8hjj4fKlbJ7yvn2d
Cr2c/ol4QoY5bFLyLG5Qai7riVokJ3hs1m+DESGxBcNHOkao/AfEvZm/SUa1LMhIobYZQ6+5L/0r
J6raYBeiqLjVg6WH3QzmusC5ual0B4F7LEAtwGtrYOnljjuiU4/KGzTdzqdc2PzzNU+s9oMrQyv6
FAYqaVdNU0fVbmasla9gcg7QurvMOIOzHvjqChL1ZsQYHyc/gProlMGtj5Vuk/KRiHslZBoAWNS9
VDqgFql7NzjbCuB8JkZ+1iYM2y3TNofDwsnj9gb50gQaIw1uDD3xWCjwFGwMrFdvOEpDstbACiBy
mbloUD3oSxebwRIVulxKKFEQ2chK3NiEAOCJ9izO9BT029No8W68XobnTvHTkNYZcg4WAyRvcBOE
1CYEbMRo3GDOrLQdh+QJ10mBZCfjvG/H9jDJkXNwdOOOlG3XC84IwI11GlS8csrDBCQrlPC72ubl
PVehVn1fcVHzo2+KZud1RmEyrN+PQB8xcLslyGa59BklyrtelQHe8lo5ZzUMqOlydx4xPRjdW2ln
PDmEvSysrLlxX7G667suYTG5KZB/tBss7Tl00t71qRgIr/P2396WKF2SQhqZUklEhsHjy2fudtXk
bXtAdK/v+pHatwAdshVzDhcdGRImXZgthaOvhRdb9tpsw+pFWcinbi135F0nRc1nVePMS5ZoRfyL
09Q5oP/aQ5SNzwbPOrIfFZij769j7XinIVuc8iRPTQ+RUbkvnhQcrFMLE1XVrUaXBmCo45Eh4kfl
A13n3My9szPbQce56IuHvDLMUz1I42vfNuFeDirUK94zVU5i+OGTpQEFYgZseZI3YS8e7bbh8RSj
4Ml2re8w44h1snyjDEQYULpwNdZDHbg8MFlelg/R8oum0HZe56Hgiss7fkZDLIuL3prN1sS8URPO
nAek/T2x0GKJy/dEafng2YkxPED7haazTpSMZXBBSx16PKrqkGk9j8ZmSnZTRj6vgCJAtYwvXPVE
CwjKDbJnXBZhDhHqUV4km16RjIVz1toXaJnwr1rSPGVOK2/soh/XOP2mLf/CMwCm7JSnc42/QjaX
KuBkyUZpfNRGmJyMHh/I2EkePVNQHPADsJciq2KXD+pdTu1tSnPZ4PnhlTNh0mwK+z4OONJtAjJ3
DBoEc1lRrFqtm2M19jG+0FxcSocjBgsHuOQUNdFKZFQkbE2yrzgh4Q6NVQSqtypA4TVjteEOVGR3
l19LSMdGPt2G2lFHrmsKg6Exb8O+Nm8RhY2b0SygKUzFATl2A0cgjh60N0CX5CG6QWWlttpxbh2z
d65ZmJX3/No8l0udn3jyFfglmKL6hg3/qPC2cZhfD5nTrWy+qltzquMPteENqOst+6YaST9bAxeg
gGQ3kJM4uPHGO7sQFyq/cgu91PzqepF7sr9p8gqQoHAXS185rJaMdP4CnI0fxBm4hXcY35TcFIOZ
VxTaxohFiScw1mJSaDhB5GLN4HnFadgTijg0FtEYNmld112Wc5EWktMm8VquyHlcsm4jDZDnbspU
ivCQsnvz6zZq6Tp+aPsXTyj6GwYLaG7+5CEjpiENeeLVh9p9L/rhshHmsBS+v36dP3U/TEOFsJll
0PY7NG4/dj9hJPshrXpC16A6gv8FS//YdK2RI7YVS0Dr0rq8H4e/ft0/tf687iKe9jw6U4dO8cfX
pSXPYR7p+qDT3HvtDbZkRadzvVPsf1qEwuV0wWq/pM2NS5X761dnbvPztwtrkK6YG5w3gXb7h54P
iCzTE+FVCAEiGhCiHqzHYDl1SeXgtO9j6Ggrs25pS5bK23LAdX5bhv17hv8XM3yLNTYzrP95YndL
RM4P07pvf/D7tC4w/+GKhQdpoZZfSJEM8n6f1gWo1pjTCwby9h+ptX9M68Q/Qp/VN8gbnxUCf/bP
aR06fhuKL3I2m8N1Eff8nVG++Hlc54dsN5EYLENBpgo/Tz8iZcQkJbrukRu2jjZWOmcsO+vo5EJr
Rq7loo1AD7SDeTLviPtDToBQ8wWUhv7glrSCjpd2z+DiuueYW/5vDtx4dxbyOJc3aNmet+QOfD/r
CJEIR1hknGM6OtWrKx19B4aqPJfvGY0sVKc99OtlhV2xq/vuV/wXw0XbWvb8P5xpCz5TOAvHCI+x
Y/80cYMhmdfekDSwr6OPRRMRN6+GJLzOQpSkoMFd/4zPtfT4mjz/Sjth8kGkbfKbnsv5zR+6ZtzU
82Sf4pxk38wb8n2ft0O2pVzw7n2q52lNzpx7jFTRI0ix651j1qwc22GZKhbYnOh9iltpTXSpJK7B
3g0aqNxQI/3NMMwF3jOqFzb1TFtWY+pZL/i58JLRDazmLmB8RnG+bat8uKAPLnfV5JQkavV2kO1i
imQJaFumaztxzGcDFxiTGf9xILIrXztzw5Hie3V50zo6pjYwFIVOZY+HySiidWbM9iolzGpazT7r
F5hc4EJqSTRjYenpY5kuXZSBk/jsqhRMSzv1zwFp9Pg4TbTJK0xsSzSfG3gH1NfTTsncI54Bub3h
WKqDT2Y1l3Aw0nuaqURs0rgxX/LK9DZViXRtE0gdbtVgt8luZOQKroxbiTFoECMEbxqPwZMj+0cx
VHJb9j6CiiWBkixyq+wvGkmXXAtbwSZMPGHumOdGwaqM+ozKyvVqgdkjnu0r3KkmKJE4sRShneGw
ostz+FlTwzm4o2UZhJl5pMe57kc/nQIozl55l5WtBsLdWC1RVxIYRAv3mdAlLXYYX9td26M0n3LL
2M9WQKMsrXGXmckOAvmImgHjKQP+4jIzsGEWUQ3paU6DdBO4vf/KTKM+zIXJ/j2v+8OUIMDa9RaC
qRUrd+L4gHRo0Dvwpvb4NwR8vYAkr0DQPpMucAiUVCRL+a784rA6uhUV7tJVUvrFF2w+TBhoBuwV
3uKSvHUwlMlqGmfXXnl+66Ub7r0HWm9mCgO2VsrtNGLr9yBa7AP1qvHLalxHWEPjdaojjM9B3Wdv
ZYpoJFj1bbq3zEq9AdkuBG00GQNyVZf1aF53Tdgmr7h18/oQlqNj3XYdaTHzMNvEQ9jp+HGZ+oXn
Ca7e60w5NiBCGXTLXdEY/ecyGtJ804Y9cgwPa0Ky7Ye2NLYVzuRrpljltO5MH3nYMBpz8jDZxOgc
8CtQ1xtRSTVelW0Rb1AExPVvTqiIKsLUivSHbr5ssTNnyBbQn/Ao6MtzK1VSbxpoNq9d5dtHQWYV
l7o2q+NED3thbbgchpLPnxFCdJvOAxmBQ4X+zLBCXg0VUXSaJG4l4iqE2qIexZ8EiKR77hMvdSDT
jrx7HQNRaCqcPEmlEPpGLj3TaJFiG7pjPW6k4kbeduagDWYvevhkpu1gXqdJ6xIuGilqkZot62vb
5QCbaiNHa78c5XC7+J4coLfbnr6BRsnoR4a+1vyEdMggEC5TNvqtvY6sKCdwwnHE9OoOQ2vWp2BM
TP4tY6oGdgz6LEybVSVmNX4sY50nHRYqt3wl+IRaHeFvd1W1s3fTdIJ3jEe/MnYKKma6coy2RhBo
5bdTKZmaeVViMSoVqb4fcObcOlXFjcUeOL9FIQhxs4y9yt0E0zge8S32oPHHXhbngtEzbGPeAddu
UTvHkkXReOM0rU5XIFyiYVN2rf8bOYIKy1HSkkKSxzPG+SrwJnM1SJSm8NN89VKBzLyR3oQlE5dO
tYrYuyNRZsuaqa761In+AwYv7ziGYeouRhl1P3iobzZG5kTjHjFgg5k4SMhjtSpYbY6bRjuB5eVa
2mNEkooxlWcJgefRygbtAW8Z3M9gwckxHW0hd5UC92tVxrzOaeHODrPbq0iO8jz4c9vR+QT5UaOh
dLHHt+LKBlR8DC1r9uHBR3gqeM7MfORw2jhhQ9tAo+lbzMQ7nMpDZbEpn3q/RFaubHI+2NSlLcQD
gJhu7DpA+Dnwu8Lunt+fo/8uHP+6cFxUs78oHLP8VVbF60/F4/JHvxePofMP2N6cF2yAUVwQ1/TP
4hFpLpIOz6PpskyLbSD/0+/F47vYY1nCUrhY1Ht/aEBsQpxcxKQeJe3yd3+rcHRdCtfvqyNh4kkl
KCqkfrUE6Wc/VUctuLRSe6I5OT1yM9vJQZGNPTiLPrh3qQOqoxvGBsz7Ts7uNmu9wfggezd9g1u1
TNA0B8DMzL4Ik2hvEKrdPkLoza8C5srpXU9w3m9MAvwXF2HfSYKYuupVam3CZeLUQIYuTgjHMDVn
IczWMS3Pad0Y1Usp64ozf6jnfTFBbFIYC+MZ4egO6XQbvozMsoIDZPOYQVgzeR9HpYfgbrJcH8pF
IuHi4RPb2u8hA3geAp5LS/bA8B5DULVVhrgSJZl37kkF6uOdkRemsxjbErSBhUoCW92QnMoydYe7
fK5vcCnxcaXmFMLmNKVOdOg7z26ZEkG5hXtSuo4LaBrEbGi50JyZft4ESNKI7Ytyvk/yGKdiUM06
ckMTauM44r4QMhLmZ6XQFM7bTCYuNVUGkgP7RgljKlsXQ0sSx8obSnZoZDYgYNYEkzI2kMHcOIBD
0tqZ15k3xmW9xlFmST/DFUtCc/o2R9PUudm6J8bUxewJnISRkTPGeyvTUXuD39Q4mgoohglUe0UG
JtnlUE9WaSdLNI/GuI/d2nrIGI9gCutMZsSM/e9FrtydFy5OkjoFF5IP+XrKJonRsmMTxJblDP3Y
3ledUxyrqh/2WTkS5NuUFdvuMV8YXppsBgn0oyirje3J+Na1whIWbq43nhNnG6enXkm9uDp0M+nh
baGK56g0ejKQIsTCM7OU2zz1PmRVEd9jWujulBz9e9iP44vE70iIM4SUtpb6ftE57SZcNTwZdXSX
W9UEALk2rDXzVEod34o2SiT+TRhm0ZMkuemgpWfgnYkWWF1LFDmiXfscoXreG6mRzBsB/Xx6qpuA
QV2Uex8aT5QPsNUzIskiGes1tFFbr5Oi9fW6miDFlK3lYVTpu2JL6k9/VBToe5Vn8RO7NfsqnEFH
r0TtqkcnFGhJA6wQKTTKNv8qlEMhbPszCVJxVZbbzKrm1YQ+7I5+zj+2yn1M0ad26eDYKweh9Vkw
1SJvNWF0i6FyGG+HOLauCNaoDsxF2IqlE7/1kHdYlnKvfGo79JZj5NefFJtD0RDdxOIsOPFLF1us
r8566mqCzKZc30deJ08l+LnHGO/qx8Gei2Lx/1mf06o1rwwEyiDbGts/qVyHOyetvwD1iQ4oBpot
XiYMipGfPoRZMHwk/Tt/niiwnm3VJ0uwQZA9N2gngfJzh3lG3+7Z5lnb0Ff9Lqm9K1XBgMfQne9T
gpNuy7B0T0p3EDJK0s9qiBOhQUIPbLTZnemgaAuTuzJKNYySmlqTWBGbq5gdpyQ2Ll8lzBs3jtFM
20oNhOVE2F/5XnrQ2rlcx4YJ+7RT2N9DNLJUrk8Og8Tb3mg/JHP7kNaG/6ZdghpWEHbMbOUq23fX
Vj1DAW1T56pgfXpmLlmv6LCjjZ/Ex9Dp/OtJoRirqqF7mKGTb9zWrD57gxmsajVXd1D95k/o6xCI
CyPXoINUDYg+dj7E0nHxDGB8hJraTGA8wvjagS340rsGnOw8Jp60MNdzBo6V+h1jaFLHr+ABky+5
olTuxuZsDZHaumjxN3Ic7I8Wlf3BNnwrWGmlprOll2j6zKN/60Fhcsc50rwRDTi/luqKTZgZVPdZ
2pEjhl0jRNfK0nvskhLsSJSwJZGFSvXBWpbrlXK6AJCosh/GPgo+ZapgzDckAwuEgLiCLVaR6eIY
UQB4vnRfB7etrsLF0kOdIzjnBtNmSy1Kdkm0e/BPlGNe+yRxP07C6G78OKR7jQcSroTtLq6EBH5O
QYW7qknwPBvEz9yQaoO5WrnVujf154Zn3gV3wnSMcZOt+T+FVpBC1XAZyu/7xtFno18c48hWPjtV
636tDOctqRvrLHywU+upoWlnS7RtWpINkgL6Nyj64Dq0s+wsTSKLaKo/S5awq2aZ/Dpaf6jM9oF4
G0iyopUELtNBJLjfdwmjpb2ZzOF9I9pqa3gWeHQHJ8EhNuRNno3xDvhjBOayFc/sSSC6xq65437/
nEJZvTQWQ3RJofgYs1FbCewHJ5VCLW2Z2+bXbgUkye3K8boqzfhANOHEtrjw+j1SrOqeK7dg1h+q
uwQz11ujgZhi6hP5LcmIwVPsRc6JdwjdCCz+unJrusU8c4u7IjLcXY6v4yjKniB2JkmbqTOTs9GC
pffKstr3Ay4sZ9D9C4h4dlBBRf6vn/3Wd+JT2tQZPmFrPo9skYeV1yl55wTwwsquIlyxkNZ6snX3
Vdhjth3ENDykpudu4Wgxpo2ZfLCtDlhHGNEDrMTuhuFPv1ch0NwJ688tJCNbbLHZsOcHoRUglZDG
UQ1XZMLJtVuqT63p5L8RqjfsYuzSbwWrpC1Z3PyuQfCbDPIvLRHdR3QB/tr0M8xOLv+JSN9wNSF3
OkCRM49mmjubMRHWjhWiOBM1kH4OU3yefS6NPUQEGPddlN+nuAVP2JKTXd2nzRFRSL3F3BQebFLk
d2hY9caAvbrPLDleJUXFoD/XwH57YRgbLAL9WtfVuLX9rvzcuypZ894fAVKJ9TBJ76BGmxWae43b
pT6ULDsYIofWrhLu58as7wfiGVclIF66xXnPEW2Qr2J8FAkhjlKCukrI2VwhF/W2mVnd+HV775ss
Mjuk/aogAgY6/DIzuATQbE5pNce7soV8jPPdWnlJaZG+h1JizhdZan5tF4ZxCTut9rk3hAdnSuPN
bBf3+OLvJizmO9gMBGlVBkT6fAIQMohNlmT5ng1+telnvAhOXEEIlQN0ntFmPWf49q3Ra2vF2e4/
Im5JDnMKAAld9RdSpiEvTNDlkoKgPiupXR5kmeR5YA/3Cqb556SYGjaqXH5kxx88PZb3nkHGQ9gT
DzK6SxpWWA9HXaBXS4F7r2Lseqein+7zxP2N3MsP/+6l/jeyWfTXv5zB/7/8tct+aKS+/cUfQnor
ZJ5uwYkMfHvZotCrfBvCC4iZpA3QzFhUiWjZ/1sx68PScRD6YAULvtnK/9lKufxPC4yDpG/MK7jE
/1bo7bIC+K6TWt6OsITrIPJloIDz76ftTgA+qmDR53yR5kywTl7MEVIHhQe5gUbeM9Z7ShfQ5K6b
7LxYdx3nyGcd5XV5FpVbNdauNuC9rbImgHPCpR4tK1iIxACmWpPop2ndAqSdPcYpGtP2erTHZpnu
5+So4K+FdGLdMlOu/ZYpZW0o+rRFSpCnIAx5noPO4nk0D6Yb7O0u5lGy0knqhi0GkgXftivHtKvJ
nO4gERvr73riu2/j9v9TDsVdBQCo+8//ED9aIRcVKAZU4QX8y2Xn8fO3A65cVH03u19qpGtIwgpI
wADTWrBJ2XUYuyEvqQXzyq9sT5PpEc4I8o+1JYeWz1MKFetvd+Fn/X/jL9W/eEs/mRt5Sz5VguvT
lX0TIP/0gzFo1QVS3PhNoDzKrmsniRe8DCqzBI8z6fao5v0Eax4z45rQxizFku+vUpM1xSuKmalp
Vv4AKPKUm4iY5XaO4nkAo6/5KbY9h8v8JFsvwlCOJqXxbmaKMv6xggLQbSDydQNPk19/zz8ucB3f
5EuGUoCXhDUVWr+fVi2ELunEyPLyi6lggTy4ZWJUF+An1Xz36xf6cZe5vBCTjGWF6grACLwed8N3
1tYpL5pw9nT0ZvNrC3tb51EG0dwyucO17afOLcM215arCcam0eNWjf3xkpFDkn799TthFvL9fbe8
Ezdgu4cu3va9P+10AbtNZqhT723sgta7cSEr9bBVCgPQxCmGSgNt/9ev+KcvmSB6xPuu7Qus+QBl
f/zshuCBVOW+/TkfwP9Nm2aqjTEjYoJ+W/3Fay0X4X9vr5bvmYPLYW7EBU8w98/KbSsp86xOXOvt
v9g7s6W6kXZN30rfgHZISo0RHX2wJhZgMLYxhX2iwNhonlPKlK6+nwRX72K5NsTu4/0f/BWYYUmp
VOaX7/cOGrFn7v1y0ZBk2Tne8Mw7mMJmiCtcX1Dg/HdvkjlE9Ac0gMhn0T0BhgRAyRAX5fiobRp4
66YIq2j+nOCowOi+/VEn7UtzkzHZHcikfUzyWCpOBrTAzqAEE69/jtDO6vAI47j5WlFT9ZRSYZqk
3Ucdr4ldf2jzoQnsPYE05XpXjGHXCYi4LIjYDtLFiD8VRRByWs3mxq0+UDwP0XLEKcyj0//2Rf/x
YGgqmuR1vEAcbNhOFzSH4yuYst08NqSDcxWgBGXxNDuL5d+3xE+3YpfUcyuT9wbrz9mHaRvt5Mim
04v26WTZSizH1t3gWz8wy3FcuIqhn0/jFo59Nth0w1DvVkdekzJ8WLIKIsGuH4YBc9za0u58m9er
IuA4i/Qqf6QNjiIHQQYt8T/QgwnYemeUTmTYRn8NSvn8msSEGDqnz9ZPoXEBYrU/sih3eRULTMBW
zKJwrwfmXux0mSk1u5G4AvSZvE0jLCI2g4Z8ABbLuPTS5ZEJWBdPAS4p/IU8gbMFQdzx2uLpZQH2
ko7VxddTGtyPNDUSemd1WDJT8VUaeTrNIAO24UY4HEI5niZmibbGDAHczl10FX1Ksk7qb+vCex9s
er0mjIUL64tF3l7zoC8OrgdLTW1gG+Vw+YgDrH8FChmaQ+c2GdcbXv/Yv6fQZmoOK372CjyniBtk
oUTV35fEhRTNfoIMtt6tUoTz7Tz0wfx5LPgXhQi+YAUxFXnLM3MRRfPRNed2rJkKsst40ZOIv4Gy
jv4jOuUla4LGRwNbuPxkgB6OH8mDENXsmT/rTH6SKqzZzJZeFyzB4wCNcdkXacxHWzmHJfrLQplP
Q1/WBdciLvP+Wx/l/nxMvLkncRHK5nKmyK9qLrMeg+kLznSauaSjxKx8OYef5TKCSsZmaSe4dOBM
HyUub1sX9XJ0t62HeV95/H0DfiEzbpXWb2z6kHZiMaC+3TD9Rp2aRaxCE21hpzFS1tf7POyWuoAY
UBYQyF8GoQcgHvYiT3xUs0y5VmnkwavPGEwCiHU46i5jcaQ/yD2lL6PqYTHHyPmEkfEDSsmsvGho
41sVEGxsPhH8g6pt6RD/0M9cQuwgdiz0Zrq0ZPsUT6JsGyZNQUhb/Rn1dhuGhwLnDaZL55NRy+G2
iWNmTeoOFc9MQMXgtzhXJuFBprKMxIXlQfF+7Gs9M4atxsu3wurPpq/7JeL8xZis4QQqQhJcM8M/
osNlajd8FwTfW8AfzU0UMdT6qx4ZTUMoNu7GXHHozqwCe7jGMzfT4nPAlQyQx/kqjUQv5ot4nKF5
7Nql9XgVMI2hPcaTh+1OHQZcziUt3D3/qCZooQX9pwx9zzYIQ17BJUJUCFS7Bhi5zQHd/hxvwzwy
dVsC8pVfj/if+/f55PHFFl05LkObArCRe+znmhGcOG0znGsUmjlXUQJ6xwLNFeOD7bSZoqa0nm+7
qOH/eweOCjBcAcx+Tem4UmV4Kuc9X4YFO5XNmpUUYuCsg3mlPTyA2h2neocn4Y/UjSaoF/jgNsxL
YPN91obduBxhyIxFfTUTHMMf7AfDOtuu1GJmVgtSJYh4L+PV8Y86qnw97Ar7Ns78nP4EbJ7QrExZ
ldGADWzrgH1x2omDLJfUIxc6M8TXFDXCeuMvi2b6RyNO7eT71KpaGgoF1QYwgP0Zc+LMllWP/0dS
iPxj62TEG26o1c0TxvFusUmN4l1GBJqPdpUvGySmsh23uhpHS12WyQhD9JhYJF499l6Ut/5DMzoN
NwPYiYXnlxiui9fQt2hjHSFBzT1V7VmIWW72UqTF0m/TbmrjeDNRt8PiSFxI0EcCdybjWY1gFgjw
ccW0xuOU7HCOp+lcAN/iEjdgCZmlH0jtnJwQ2Vw8msmTF2ZJCaWCwHgosffkK/raI3MoETlMlMt2
bVe+17uoRZD6+YKlcuwbRmlHfqlDi0PbljP116OCOFIciqafeEqNg4oq27dLDRKOpgeDBsBrBp+Z
a+ddIueDLTvFT3KE6fmehHDEuoTnU60/xbIwFSFsfCgAm87TAeMnM4vVYWYUeRccV45MqLkHUW7P
efo9Po9ESjLTo2qET36ZaYsczq3nVJrrZ7lkO5qh+LLL14nf8eZFXmU2WSkngs43OvCxFWBTHhbW
hyXKLI/U+WXAB5wlCp1D10vETvuIVhQ+1bVrSizbIkH6sY7wcgDLeT6HsOqbwVFtL9r4rAR26eM9
eb9KWNg+resAgzgSKabGqkn2nj0l/Zek19x83rL5Lxioq5ArDgsFPYDg0CzkxcbekXL6GOXooUt6
3c/Tus6V+d7itYKJu+baFM5Ba5nlfsRmezXUZpsxFuEQk0tFJZravJ8WEV5y60VgY9gWZk7YXeN4
1BS7MS4hqZOx4yzBd6tR1fDFrnV1S7M7BpgfoGH3FwHMEdp/7Tx1j8ipe+tyQHnjXSVcKQbjDRmi
33PW3PWA1UFb/fSKah0+121QDw9qpT3xka4V2VSKNjqqNUK4O2MKS8ZWt+094Y3TQSkfKsHQIzZv
gT5JV/0gKrZVfFYkbKyeZzSwyOuoX2kKNDNMKRjhZMhT0q+DWiClQtd3Y1K9rUV+iwHbvS9BJRcP
gkzvlRA3cH9ZYD6jv8ichHmapPJcZuxk1TaE87muuzhHHkKclQvD4VLzcoB5SmBjG5vowxyHqdiR
Da7X27TATYONL5DhxUgmJQljnnSd7QI/sQWmSyUpZlbrhgW4ZOjCayHD4Bi6Qu761lbrZRI3tn3m
KCdz8WbXwLMbSZgNXkuJ8K2bjoaZ9xVa21C0Z3YXLl2/j1tb61sttZAYpMvGAo/3xvWOhDe8NlFV
BMPXNaTD2OLSBYeoO4tIH1015A1CanZI2isTESvJUV1bMg+why9bQb58CHWkj3CjKaLmJ91bImp2
ZSCX/hfcC4Ez5RR2bYiF1uhL+0wmWLBF9LxsHxZZAqweXMdOaJXl2RwgOKuyXxk2rRJKXRuVuK7v
HF8uK+baQgorvR5cbqa4+V19k/KZBM5nldZkkW4UkTpsS10t6s7/qha/67xdl6ghmamnENWXUIlC
n2ossRUvzIDJPPO/sYaCCmoQejbbSsxCwsvd019lr2UD53WgSWxWOCxUTYWZoxFzkkOxVGQ+mRvr
VHQJ68iiJPWzHkPhKz+rC3YZ2WAmuJ4tYcjfPEx+a6o/QgvMySHECIerXXBBqOKzqa/z4N6H+8el
OHScShz28Xibdt3U+yyTcEOo7CPatJ175rk+VTDKEVNFx4vqWMsK4kZY9EhpTRR7OKlY9p5ObrCK
Y+whEB2Ojcs52zoHQrW5UeoSLP+2vl8PZkGsK5c9WqEvpjRRCwyt7tA1odk5CUjUXOmQZjjunUFx
Ie/wC4ZePd9rkxgzKw5mbcK7NPrtwPUT6mHWyZKwDH6ENLmYK6K5MzrDQzzEpl6NE8SNdy7sr+CH
UjSND4FbhA1m+MXMtii7ztRSTReakiWLpRkj2TaBdJ4mayScdaeQVJvwUacBN9iEXUJkLV2rwWf4
WcPhPu7hlwH3BJg0sEv93sHQeTKOpAkYxCKgpcnVOyKxGMgOhlTckmeG6OipmiwGlmWmMFcwjVbG
9Pl7JNaeVwi5DtY44EMNtMDbtkYE4RF51+A1t6EgMlMxJ0OeM0utE/++Ghwu5uUxsmE6zh3Hv0ne
Rn2iuWNRYGE0HKdxDp3husEagm7Jqgo7gQlRhn6BM30XpLU6JwInmG/X0DVVrLN2Bnwa6P/SE0O6
Z4oKW9IVVsRSL+YgHwU9k6UGr3PoVit7CCWdP5cqJXUTU83PbTcM/tHu0nGOblaZuW3+IUhCm+tZ
VuhnGNaKweZW55Ii8xa5lnlFcE82gBfhf/xAAu2XQs0hTuI+7x0zwUQCI9c9692wos5Go2V212yG
omBtpxYOAnRc0VEFwrAw9aYkLHtBA1MYo1qbESiekjVs+IJ/Nz9NVTKsN6qKQrZLJ+O63G2WhaY0
hLObmmJedOZqX16PUvo8F+QuLQ+V5reQ9QehxZx+nyOVEg3vO2EZ8lbTv2Oa5gs1QXHwBs/M3aqB
qnBVKyed5S6tRmysL/gDtaCoVS1ani26Oyyn8LoeuAW7m3MDVjimtI7nliNfimH48DAPUy6wWyqn
jvBQzpae+OApR5b07KFIFk81seyMbAFHmT/jaPNARi+mvOTgyXOWi78ul0K5nJ/wIF/0fKZd0ZcP
c+YgrtomL5UPOriZWmNsIwRbZ7mOSwqD3yfiaG0grB40Ueycvpq0F3xFJxHgeLEsSz+KeerXG9vC
DmIrsGriOILFWUojJQo6Md0Ga4XMcGspwp9vrCw2h258LUwVNmjHHPLDeDCFfArNYb5NxsSkS8oa
QLcllM5a8fMbEONTo8R+u94x6mbFXZ2e4955H3aNQiE8EzZH4czHA+0lq1kqO9bk4NiFvpZwg0PN
1Cfvwck4qpQRddTLq9fANuGHK6uO4cIaNdxIX22mi8vEaJTBj6xELGZKhnakmo82zdqmZ0AgqMIe
iMmQDbZwtc0rzmk57a4C7NIoXhdVpGdJ1ujpExG064jFk3aqYzS6nCnY2CyP+kBoCaviEFRly5+J
PWIn47Oib0wl6jYuq/hWvZwadZnCPTrvi9lhkaLgn9Dygly51T5OZ3MKfDlYVMlqLrpdtVpSsi2C
BZ2QjAiFu/DmqGCic0iymf0qaxoeae5AsymPU6PZCcnpnBIp90R9e+VV2AGO8IPrwowijtwsWJLH
aGVbXULXbjaIc8aVzgBOcuWDIAyDP7i8rByxHk2hC+XazMq3UaNTSBfMKAITjAUNnRDhxQkeGCHM
VUlcqR86keaciXCtyvwdzls0TTfjNHC/73zkKapmPpLjqWfgPFxZTnHWpWuayJaB/AEtwnRvXqZG
FcGBeu/u/vwo9B7UuEaqAXhunyCrLvTkdQad+JF7iVmfWkQLM0UhizVr19sj+YwG/hM/doCOQ4gP
0L4FxsWnMOVoY/cJy0j80KKeOMhMWY3zzNaXXsZrmOEHwl64Bi2LxtR4Ppap01xBUd120uXcDQph
OhsxR16z9ryszL97H82QmiNCA1GaPSEMesVXb1/+H0OFg51NYQtPkuO4a5vv/6PLoIekxoU49B9o
r2uugw3KHAvZXDlCvf1Rf8w5ATAc0wrCigYFzSneTRmVuw0F1EOcRWJajskSFQqXyNC8IkECSeC9
KXfaQnF4MJAkUcXQTXCJ+3t9c0M/EhQDfv+AW5VZo6TmZbuBGWM2CDc2e1YSU+9TTCx8/avC0Wb4
yGpX++dv3/vpMNM1hRkKSEub1HeQ5L2+EtVIjVdEKr6DSXB0XLIMlCpqSAjM3nmgp6OMhajN3eLA
wKcBjp2A1yWFIc56RAhP+HSVV7KrzNE8LzipHYlCMlXj27f2WmlI08SnDRbBrIV3a1aVkxkENX5l
MVmG7wP2KcygAb01yxyL4sJzTYa+0g65RemSxduw9DN2xrcv4NnJ5Z9vIKUWknKbAPUQh6M/kgc5
JWaV04XN9z6zl7TZ08tayz2oRxYXZy9lyzxkpjQOsLfmof8GxS1fGsgLqg7OC+fqZXDqAlIJeJWP
yjgAXI0FpwUYZA1bwliqNhp3kZBWhGjdKSWrdah8s1lCpYW1v8sSqGiY37I6UYvIcAI8ctSgiSCa
SyA6KOll7srznNZytBJOZJnaapxHU3ZZgxtyihnz3mznQZdT24SjMFt8h2iRywpfAPqR0p5VsyxR
oYDhRPK54nOh2pN5UWBUDWozpuSgoHgviCu9cGeN08Nl1pTAsm8P/x8TDoMdHO7gScfQr/+Y2hMn
i8yy1+Vbm/VYMRzTTpojULxKUwH8hqzf/kjztrx64Cy18XOPJoILEP7hfRRWKMjHSH2L08BgjIjN
gvIKe2C3tK4hSnEFGyLlJw5R2klMUQj52FzN25dxeuekd3qYniK847ZpvJ9sok3QN4pnmX0rW+DP
C6iosv7qYr06fHBH+Y7T9OkKAokc3TBIUSAi+pW++3oFCZCE51k3jt/nvivWO78IzbQois5UVm/f
l3vySvPX8b8llzQI6bwJYZ/cWEp2R1U1s/sVIxEMHhLgSwjcEL5yTrp5AYuTGKJ2rflPCGDDvNQ+
LkIc1nwSkztgXSAYjjymf489aUUd6qzoJG/tPOWEkoUsAo9ZW2QG1tKWgQEiibAlwwwNRhNn15ru
yO1sOYKbs0qfvShNLdMpcubarNccCEqE8RZJhUt1aFo79V6Sd/9L8sLJeDMGxEAJm/fUC5Gdno6B
76cyroNJf8WRwOzM2AaYVw4WGSfnt8f7WSD5j/lsnimLF5JwrMPA9U/ns2o7MFXHS24jr33+LCRj
wbUxGTRbE0s9S9BL772CpMMoYHBrUNLfXw3zZBACS9kMru+FBs/kLNix0rk17Dh1bpXFZK0fRl7V
gA5WB9/sbBETB6Z92SQcj6FjmWPJ78Yf3SLTRLKqwuXdWSN75XtzW5sHTuw9n2I9d8fDF2hidkBA
5c7yM/MkcSFK+eVwZuGHbYYBljkZvbTQeCOZuxg9mMNzkoByCFjWtQICeXtIo9ePLwxDj04+gg/i
KdgLcUp7/br03MEcodR9rGYR3hdD40MhpD16xCq288D4M3lIPR1fLhCdk13nJc2xdsvqbk4NvbaJ
MHKPx5S8d2uJxg0mB/3XhPPreFNpEum2WTS7xzwuPpFnaT/OnTfCPx6wO9jSywk+zj6mbBkO41fs
SNnKaT0jI9EiN+WvlT7yfEGCeeFvOoxkPTLJ/fLOWi0EDLLCRmc7xsONx64EB7OyxBWO7kg3Oih2
9MSru4we/gUhR3QJCuPowiaiaOFJp/oOa8K/XHRqFP84szk70Q3hrcv+/NDhzOKb6J8MCMPYqLhF
02D4Iaa7XIgMHpRtec3OArf7Vk4xjlhWN3wJvHGkLEqmY6Gn4kCbYOm28JMCvdUqzhHUefVMnne7
lyqeAWyyovhrwu4Q1DyZSuw0hvZ2RSuxo/yE19xYlrfFsPWTJxf7h7vI8btDYuHXbPKx49JBfVmG
IxlS+ZK/pMb8l+/z68WaCUFbmcUMw0V6+hQKJxMCkm4Z9n7a/OR5YXCGu1G5D6pWYos62MHXd6bf
qw3q5cNQIz0nAlDDiZPFGsMZSrshbn5Cmq3hCGn71mnAVzd1XV7Nnpg4/6Vt/YkWYVi+U4/9MfOf
bxOuDi0bFvHT88jkjzEi76H+2TcNB1eBXkMfauFAfHv7Jp//0n8uW893aUweqftihw359BCpcSB3
Z7gyPx3V8s4Il+1i03LgyXc6q8LPjUvqfI7krsNz1o+7nZg7VAXYsgY7XUloX5D1go9DMMQXDfbf
X9lvR+qkqZJ3dU3x4sqm7jaudLxPNsqlp3rCr7IBnv00u4tLGAHnVPKlHWTfmPl8FHXMPCY5NAC9
KenFIYkHWBvi5WfRppJWwjQcHLjdD7aWYrvy/N6phU5IeAyJKQMogxgXwR59WhIQWzpqj8D6n95k
Bj/LRXZGMHN11KvGhCuuvgkr1rvJTWl69PidHL0G7ezu7Sfjm8n86smEhqyJBSbkW7ONnxwCEGnX
tA+y8Gc60TgAThvKjY6gVu9GuiRyN3u1PqJN0tMmt7qabk9bH1twq6u5C8g3rcLU+riiWT2KdQE4
G5L4e42m198OpXWVL034YREIJEUtbsFAq4+txUMjJqTXy3aVmrZL0eJqE3Zx+JmycW4PysuflqDI
r0XY5WclSPExT9vuY008mty1yTj9WKps+mr7bvnJaiI2iEA76iBcqaYN8vX0VlUxKvyst7mBTDvx
ZpYpLYCw6AnmCtkTv3i+FX3Is8UzYahoJWg6oOh5e3DN2J2OrQe6ELJJwZN1zfv3jxMzCeC01+ww
+dnjuHNt9aK463KxYCLcN2g4FGeJdz7ReU18ZVaRsmBYt/CRjPfaqaWpg8PkULN1/iq6wrsANrOI
M54W6xKgsjjQiJCs9H46/OyEXd3lqZYf8jy2P1lzLA7v3P2fU4tSk+XTJc4SJu6pwcugan+M0qb5
hblUWHFub5PvSJezmTy/xUeN4ZYgHLUx5sJTM1t2RRb4RwQg+Q6cJI63NDyJDBnaILzPJVI1oF8g
9MYas6syyMdjL4S+DpCYn6fYN5NKibpSbUbEWM/G0tDlBydq8Rla/e7MYlgORSmtK1JajPO0Cq0P
qKeWGwJY2M4KP++QH7B7b1siiD6gJKQFbol6TjdVXzVQShSJRTNNzzt/5mhKLTJ+ka5GnFdXYtgM
IXQZZiLtom0A6ncj4hzRQQijTtPRpK8kA7LUtyjcuyvVEYGIF38XwKuN3NY5h5yi0Fdh5vWXHNr8
fmqUfPJyF/HUOBfJe8DXn+sPMyWGNAd1De+DP3A94dIJLbUqf2HEY4ebWMXFD1geC11DHhlnqvDn
Ok7JedBYP5aZAHDYo3NX/39M2MhQkNn6jOPw6YSFKTXW4xpWv7A9IOji+YEE65RVH3JSiw/2Ose3
BKNOhyXIkn0XJ/pbFg1zxzxZndu3Z+wJQPf89mACA7bM0gHX8pSxS9KDmltdFr/S0A6+oCMcP7sV
so8QYPeSfXG6nqpeXnR42J5XWjhXsgmNOs0YveXYj0BIJp7pAz5j4gnmfI/JZZ+XX965ytdnWnOV
AXxXMovJUnE4VJ4gRHOdLHXce9MvUO8+/QqA4I9YhKAgmUZ7vnZxX6WnNK5BtIsGv33KVkQzmzVx
Cc4WYTve+bh2fLBDVX51B/RM24ld4IC/e8Vwp0W49XravS8P+n8067dLR/7ww8+a/PN85JDyKF/J
z6GHin884D+i+G5+NQ1BIfNDk7+SW8C/NL/4t0W59x+4lkZglESukQ9s4tb+Nj0yfkjgChxCn32N
jKXP36ZHBPLBwo7wSvotd/9/gguBsTkJCAHwt4PDLzjBf8f0iLfj1V4HVk8dgXSDDeaZZvp8yvrH
XlfVYuSUby9H33QCd5PT4jDjV0pcu1A94n1Md1kgTc+H+qDgf8YbdxyIwImoyQ5rzxlnS56VFW+J
8ar8XRb7gQWKlk67IX7sYP59VAHRmwjQ7Z2X092BqAMvnHy1ER6gs3i7NahcJKcCH9B9SBuFNDAE
3e5+KLKVpC23RVi7DBeLCQIFPLFRIa3rV0jU5IR6ELn3QwxJEGoaQaJpiSPh0e5NvihgN1Gjz6mj
5XMCaQsvTxlZV4mZnE52U9Yc83DNf5FgnD4qwneuNL9z7y9tMaGuJ+iUHYL8AQdMbtqAfI80nk0s
amsCUjGfri5nE5oKTUhezYogVcdEqqI5gfHRSoJWacGUhyJMixn9IEGsGvYejtEBLDXU/mhSSSWB
XuuLr9HAMFNcYu1IcKB90QTpREeOvq3rEv3qxoy8lxMHq9a4vpEmIlaasFjbxMYWuEN9zJ6zZGER
Nhf4FHRYZxLlUqosPLBg2nI7RPVVEzqpvV/CAIHuUFJabBvf/gvBi/wwkWNL0Jj84pAWH51hN0XO
rWsVKQ56E/G3zTCJO12V7qGgRj+rCZUmJ3dNkisa0/luETZC+5YYIzry4+cwwC5xHzx7/IFaPI3G
98/DADCcb8h5wvVVef2Zl9o33kRIPJurK64da5y+GdX116EW+iOIqb8FodnT0oH48ew/aJwIhfEk
xMM7wSK0aD75wLFXJM7/hU9ysIN4UELyxNewMQ6Hy4TXYWD59VFhf2i3jtyWZVF8Tia8ESE6hLvE
+CViqEIWNx4ytadQgk52u0uePRZpNSfHIk78Azlt5VOs1KND6NOh9YxLI7mGzmcmOW4hxsSRna3e
rFUs9sQoqV3JOXUHu/hTy2zbOvhAtkaNBDct2GHZfL/Wub9ZjWVkhr8ZveuIqxwxlEwnrCUdWNEX
FV27ew+84ZwUq/6zX3Xd1QKudQEC1O8KwIj94Oh5Wz3bV8498+bZ01Ibe8sOY53NhMUv9EvjftkF
ZD1CyNefF2OOCQziYZQZePWCbWaUEDVywKRKGdsnsDzsNYsXs031Yr25WLhif3ExbFVf/BHVg7fx
+zJz7hyPubC3/SK/5KAdfpJRlmR/aW/FuHJyikocmthYb1dBvvD5c34dR+Zsh2bfhq3poJM39Nth
D3UE4EnHoinOVeui5a9wYFCkP9sct88GaLrzlzmHhEm4+bPpEpAhDkyl4Oz4rSzlsDY7oo6aEAq4
z+ly6YJ4BVfDhmvHNEvTb5xc02pbZE7O87HaGgtK2Ab2XhMgnML2yLXxE1VLmO6qoomiPa6dskyP
i4y8b1NLbfcIc8gpA3ySSZeeN9Uk2wvOTVi4Y5pVSsF/gqQ8L3AdxfIjg4FCBEo5BVAuenzsOPEO
WCW4lqP3z9vP/+zU7+3UIWzpt3bqz1n789f/Oh+rh+bnqy3+5Rf/3qmd/6A5irSOmtZE4NqcCn/v
1OgfqXFNI+DvlJH/3Kf5DYrfIOKYhA8bkNRvjxmPP+dR6xmfQ/75//zvVzDWePL1P2V/L2D8f55H
TT8d/qlt8BfY3yZD8PV5tMcvdqjjuD2CPcArIzoL4weUPZDSY/j9rn+v6nm+As7LMfvv7qvUN5Yk
WG21E9hADcl712Ejgk64bm6qyb7DZDdF21/RWmo9wkhWTGfOB4fTnrdYUPI5Wm2iMbzuYFltXO3c
FBgAP8SivgoU6mRLnSUSj0Q5+PF24ryIIQkkS0xqniZ7yq9rxnFraCcsP20PJ5c+hvY54+X2etnG
9g0VOrjroJAAojzwS4gy3gKDXuZPY1WwPyNI24dtdB0KfQZfvYM71jzFZXOlHARU2s/YDKeD55ZX
CDdvvGK5tFN+CiuBjc7yB6qIdtf266OP2rqancc2DO77ZTwgC6+2A5GlfyW9d8yHKNgomygBoIwV
6DK6dqS4L+fqIbRXeF6p+kziJrlszo1kF4TWVT0VHVS2MZXFQVSLIQLSOphQYnLOnG9ToT4bMyBE
FUF6DlHlkQogPnMy095YLg3h8nytyGewFDQBgqq2np9foNB0oYtgRo+Ng+q8+0yUF3iIPQx9QWi4
f43j9wCR2IN6xQ0ZoKWVyw3QcXhYhDz0cYenlvesvIRaSXd7Ay+mwHuLgXIzmLnYessNZUC2z8tY
Gm5Veyk71mO6NYxlVj/gD0BxRJjnRrIibs1noebEChnmkhrtG+mqsykjCioiHRYm0yXEbfSzZfYk
INrsfSe/Kkt9SdUIKbqN6RLk3GHrLXdrQl8Ozmu1y2Nh7cqRD5pzbPwyUuw/wCe8wNzlbvB6FAi+
vq1tf6eXRqERgOGZtPlDQ2N9X7n6MWrXy9lNEU1kQ35d9uALZPNGvfgYq9zZBso5LK48rv40HHsN
h68Hgso7eKKDOKY1z8iyoWWUEgAM18jLoF3gQyjD8RSOIASCmYCkC5MdtxabbrTvmtR5jIUiCd7w
GGVaXTjQyPphuvV0BbcMQp0dtChBan0rErKOy1zStcH0DEIIHCCHeA4CIBl3mKJ443j3bd8UhwBc
qaOPg46f3+M+N5kOmYoiuM/DYUFfz3Rki7jusA75XiTU12EB0oJVw/xJBEy7SqcJHhoYmUAlnY99
uMwXfevP5yiXonM9W9bHktyTfb929cfG6pYDsSDzBezwcetalXiUzvh9mYfggxOVHfWGbvPe2w3I
dCHY1T38WQRiD0lI3iu0MxcyceH1DTnGyV2t8TLard4Y55sajw+yAa69pvwO85+YTl3BkGK7W0W+
6+Qy7HtPZ3hd4ydMlJce0ovoGZMP++vKym6a1mv3yvLuWjShsLV8DCom/4Eok+GxaUiSaawi21ek
DUfhUpBwGweHGpsCJGdtcuNIH1Zcw/RfC/exdVoyQHoQ5WxGFaJdaJ8hlgVchQlcYBr2WEXtNNwV
jK7DCaYfk24pw/vQCq4nt0c0NA9PlhouveC9LvprVNGs4hCxyIECWUTNB7L2ehXPi8AjAaPEPGg2
OdtIHLZkLF/nfk+ItvMe6+d1M+Tl0yDh0A7xbM+JTsOnYk9NqP/CBgcUOAuNU164lQFcsQJ5Bwp6
DWs8f5JRD2MgxHE1xhn69X2pMNSiSLr26MryAbPFcmOW48JRyLewMcTcRC32Oxjla9rP788EnqRT
DvzNf19/ZioaGEYjDb1F+tneH6EH05LeWjBglOUj3+F+q2q9HEZWt3/UDjcv2+6r7ZjD/D/Q4d+f
jWYbZQD9pj+gWvyl1YrBaXMc60HsCmxybpB8oXcb7cuihUaMkvpRjRonUzXPF8U88t7GDVROaJVZ
AGTdrJdTiu84nozHOK5JOZiGvRupSxXgd4trnaF2M1fb4qoJhkMNxVnX6Z0N6X0XaO8adRuCsRYx
i++33bcUctQWn+tl9/ad/ssUomVnuz4gMMDaaafDrfK4bl2vOWbuePBa+8aO15t6xU/pnc/5txH1
YO7C8wDG80/982LlRJpvMlfjyjvnKHWzYKyytwEnKKZjVDARNKfUqT9V83ITSrv+lKXsod6aPvVG
U2BKFdg1yHBcTQw7Vraxmm6tGDnmMJ/RyJVkfeSk7KRZcNZrV9+nvruckbTbmbyY/HKyh/FzU+o7
PbDtT27uXcg8qvcKD9VL0nyeEjpam6asDCE3as+0BXcaom2Ekz8sGDbvThyzBRQ8a1AcYltB2o+m
0wlxwp3Wm3DpxQZ/SudAWs/3wYcJFDrUWG8P5L+sMEjcI2JeyYFz/dMG6Io9C1pF0RxX5TyXE5qV
ze/cAE6DOL79WVTYf7wFqDHgkUD0jNGcv34DkYnkYeUtzdEv58/09C5qksff+Yh/WVmATF0P/0YH
jOIUmyIFp5SVbTfHNp67w5hrd+sl66NZ6fOV5hQKtYvS9Y6x5V7Ddc32YVNdYDj311gUPyJsCzdu
PQ/YfxTiCBLOJhuzOqGGvQLweVoDJfbEPpXHSgTwbHyh8Mlaxw9VHuznqPsKYcWISaL03FsIvSXU
AjGyQwAC8FJ3cAe6FSKGgD9pMCvbzZ983NM2AMdXsy4vSj+FWB8UFKgOR1jfoavOWXw72/Jz27jZ
3hPrOw1w71/e2N+9AdZh7w8GUeMiv0bg1xydioPCTMjmNpcTFbxVcs+45G5wxC121RJd1z5pGslI
zDSgxUcJZyNKygbrLCB7laxqIzEbASKz71XRiV1kc6Yu5+A6mWD0T4l/nYEM7sg/QdbRQgbD8/kO
pv3jOtqbPMy/aEF1GPfc8GDpszKz7+BYy02HRPxMVAqzcvU59QNjI8389Agz34wB9ILY8grkgDC8
XX+9i7thfof18y8vCXuG+R/4Kac39/XEVWkP7K/m5qiiZkeJozeh4nKQ/W2SLn3niTgnjb3n3YJ+
MQYecEIxgTh9J5HPLcBAU3Mc3LHZO8HY7qKkuEjYqWKH57O2TMl14YA0uyxTWC/cg1BcBSUF4NQm
AYbMsKUw0kVhBt63IctH4tIX/RhL5wMGTB8r5D4IeKj2dQOJSHTjY12sn3UF6EqrYGOmWSrKh0SZ
KlW522L9v+yd2ZKcSLZFf+X+ADIGZ3oNYo7IeZAyX7CUUmIGx5n5+rvIKllLqbqS1X3ulzaVWhkk
BOB+ztl7bf2i7hicjZUZsF3d9Ag8ty1f6Vt5OYsREI7NP/SXnCUgbkEqh34rw46pMeaVw0gMz1sR
FJbIf4Y2q45lN9wnLYWkR+c3mGtKPXse7lUbEWMu/JWPa8HMjOtaS8j8YLdmuN0akz+OEv6gFfwN
eYbckLLrt4ZQzWZ5jJrRvqzc4R79LgUEKc48T0Sq5TW7JT1MLwgp9Nau5F8r+kZ1il2R4Mn67Nvj
F9W2WLC5wGmeXCQWNYs/shUXufiUxv3tgEApsCp7T4TjUevhimO2WamIB7ht8yNF8a4IWVmSqOfG
5OlwhvYCFvFz3AzlMTNsUH3EQpkKGwaFERzKZDcAMjmhOrvMW/HJBMDzh/XY+YfHm70OAeyIrLij
3g+QcmKbahO4x75xpy9lg89OZ93rKbNCm8d62X+9ldrY0HF4vdlSl2e+RAg1DQ3UhZQfo6G1zvDi
Q4Xw116vLJdko6gO0FaXG39EtZ0bjUaBlhVLtm+yqcs8+oKo2L+Qyo/XM6FgG7g8/hkrKbt8l0mB
xjsmbafH3mK7pStLLlbpDgFMm4GCY2cdURiyHsZWxRcSsc120+6+7XmDKrO9VR4lqd8R6N51t8Lu
kl2VO+MGQLW1rnFjEql1D5gEf7OhzSu7mr44zYy9ULa3eMnTfZbgQmYRocjs7i1nvF528637fX39
b4ftDx02xC7LGPr/5jffVV0b/0/wQn5CUv40Dfv7R7/32LwPwL10+m4O3ui3dtn3YZgFR4w99Q+w
5u8MZ/uDCYhpwRMhDoI9zC7hO8eZfG/m4DaPBJNV5Dj/ahaG+vPdngbKCzrChXLG72H8IortEpO8
gjSp9iMewQHDRkboHBIrArFKVnyn5EUOfD31bnyS5EGbJ2VySXe8Wvd57C2oiM7gRk2sj2/j8Mox
y7u+ccJnBujQTmYLtKA7zPZeKgutFmIQtLZLeeZmZTUGmECdYg1COoWRjFjYOrPPjy8ZXlEvAvWx
jij+8npT+wl0czVN7PJoLMcjPW+kU00BpRSj2CS2mdaIqxiA/HUWhyLQMNlqG73WrKMKJyxc8LLx
luPNMtHjjuga+2pyLkwoGJjvzZD0ycKymDR51oG3pl5uxrzun/SCXwoNSNh+5SgGGRiixEYcdiXN
PE/WqGJcaISbt+A/Qg+QSOBTrrJNwrhsn+hsXDfWrBffEr7wPUlz4zXTkSEiHC0JX2dnoY9kxtB8
lLPm8rn8Zh+FJEGgHPTs1s8Q9YUEsl4NXVjeS0I9rtpG9dNprMfIBpJJl2UVxkxGGK7lRhjoBmZu
CBfSuxkzfq+axYP3lBGGxUqHfTJSqI7uzZzM8tmIPO86zNnJrHiXI6sMfRdxCf6paut6RcNy5h5G
WcirzKj9a9gYCx9bID5ruH4oZ2v/zHwD2mMcD+e4Ax05vgXaAeuq7gyj9m7QXiZUKTEr0eTZ+8Jg
TWKNMe5DxHwHJDKgTfJEHMbOra4yVffa3cxsZuNgZD4CMx2COicckLUZ3cB+1gpcpoAdIA8l9eeB
9etJgbb/yCxXEJRO6wuHUkTsI+Ykb6PauEWCje/4ZpQMOiZW5TvWqOhmtGZCTTAZ02Oye+uZBl7T
sGfWbBMYhza8eHMGe7Yx/LOUlhttO3hDRzGmZbIPEQXPh67DzrZLwk47m6HWD8FgurBg9NEr41XD
gLQ9xDZTI6Q7srsl1MMG8GqN/rX0kH+vDDpDDyWT4IsYcOqA3y8XAFQxBtP5DBy8dNYuwklOZqaW
plixVxoXAucsdAjviQy0JcfFhwmOfdcK+X6WeBZMHV09bDCTeNtIGbPZ7Qlu1Npj68hOP+SExyQf
Tdn47RFQvA0dj9vnkxtG2h1UYVpkWXjhFgUk0b5tPsZ1cRn6VnTO2VH4X1J4db25Mq2iEtoxKnS3
XLtmrj/YFtklyTyxCM7tvAnVlG11h/9sUW0d6jkaHhOguGvNj6sLomnqTcMalnYG1O98qdPcFLcb
qLx4eGR2Gjl7Hm/tvoysEOaoAmje2XjvA90zJLBC8kmdbIS7js0serVLfof9pCdI/vrO7NZTO44n
jeTWQ9XRU5388raavXMLQ5kUIaOBzVuNxwHo4cYdk5zWMtrKuqLhrgnt1Z550+ShCupw3hHkneLb
Nom4k617CaT7rp2baO1Gw5KtYj8aShEp0XUde9muuiKd8NZANMtIgFKY7BuQLqKOGHVDIPakA+W0
bALmu+VJL2XzNZ3cS302w6daZcMealN+VzpsbtMeWsuUkasp8qa/NrrQ2tYV7OMBCeBOOPNlUgNX
ygXz7RjV9HYyoIePGj9l0A/AFasquc68+akKQUrDfbuapbpohywMJKDYILMqtavDUm1TR9Mv4P0O
V04DGz1pqs9ER9S7MjG8TRJO4ZaoSeblIaKdyjDr/Vyxmcn7XjuC8DFOUz71q86Nnpf0jnUEiybI
XHg1pt8txIdKfUT1M+x1zA0Pi6qVG2PQdpEav2HRz3dTjEitVYNx3xtm+GxlNgrAMYzFgRiUgphp
qoxD51At7K1C2KeS/MUtdEfmqhIm/U6Sxnf0wsWooaGe7WTs75KZpSldaACtLVDV9c7sXk64pqgN
QdDgVKqTFsxsHT76NXGsll2EOJy7+HJGBPW5rGADMaBOsk/SzQvyOyimw8T0tjht/F019/JJDqH+
EUCwtmn7DrjxUM6XEPar01QP5MJZhXeD+bm8aJxRu6KUfnSjGrK24dcwg5E6wZsIjXEF4DgzjvaY
Rmc/KzyfHpldB3mbdG6QmewaV7UDMV4MMKNtYjCD3jSsSwvsNXKSeFQrTZbk/5Fys3Olmx0BKJOC
I6NuVZOn8NhKvQF835T1OumggOuWuoUZVN3Q7NcvrTQr117Lle5ybgMxbPXRBBK0DG1Mk85x3wiN
CG43/WoxRfsK/Yo+XGwVc4C+ZbBZB53pWNImsQKIQPYabo3xANanv8XK7b2OXhehgKu9cx2az5rf
fcMWHH1CFTSuyEHRg0bYD/hGtQueqSwwrYyUXoP33DzV4UOkxI4G63PodF88s7Z3cyVaVGGEOWDW
+TT1k79u88pcu656qQt4oL2lHwCekq5lmPJrFLo92E0NHJpnpfueaMcqMOdJMKAIjWvyztUma4bs
pjSwqkak+tDi6zZFa8JxNiMYzbig1SA3jVHMl9HUouYrmtcuje8ZQ7CVYn9BNwZsjdXne9dIickJ
F2o3PKOWLki9bGZqL2ip6lYjq9wmLsPkxcyye810mJ8Ntf4cm26COtlzvypD3Xa98S2k+vBUQji4
5j6VOV372ibpdcx09+hP4XyWeifQ5NRPVUQtwCz+OJQZfvRYyk1f1tnai3oLT8NUHBClH+wJ0HLq
GA/JMGVnDOwhhCjH2BqqodWQtiR26elO9bk8Vu14J+a42RpzXDLZtAPCuOfXlv1n0FpddUfbnpxQ
YM14hgprop9S9hsikNvVVDbFduyIaVWa9yWMzE8GKpQnHcTkFWDKPED7dFMbLfeV/aUwC+OQzDAO
ZJzIkyyZyZFe+dUtBkyVxitdzzom4yKXgVE2w96TaJEaIcUmIXN2hZEq3rFjcW9hCkXrOB/Src7u
8cos3fBahdVR8aVXudolkOexaorAdiW3KBO89RSP5lphIr2E6PBAUrnDVDXudnJIbKROZlnddjHB
2CmloNs7nB2584Il/azVjbOGCPoIA2O3bDZro7wihSgKxOBT5VXf7CTaM0AjXUPTr8KhuZpzxB9x
2wSqQWkpi2fmouVqbsb7oemupdESBVBesFtLAj6YTlsbjgHYHgJb+y4KppTH3PZyBMi2ldiMquDR
nolV885OUZdBTDqSOeGgxkdWzNdQ5LK/2jj/Lfz+VPhZdP9/V/jdI4L8ij/o64+6CuyEy0/9XfN5
xgecowiVF4Uuf/13wefrH8D6AZtdxJHWX8LI7xWf8wE9BXZLgVkdLuhilvte8YkPPn4X32eQBqrW
pyX8TknxO2UFNr93FZ8HANkxaO4xfdAh/i4d6B/Uj9iuyK8d7PKA8Y9crl3PDjDtNzB+BnMFY90z
VqA5zeHcmtMUFA1hEUYzWjt4qu6+LkRC5yUkjYSy1bhsauHc84LCdUTNtI4ip7GDQWE/jpzxU4FC
DLA+9qUXH2TowZR6HnS+zbY+jgSNaPe1K2V76K0m2hE6F63JIK8DAwx7MM/Ev0zQQyjvwN0TMjM2
W0hIBb4PD8VgOlWfhKy9l1I1xaGDu7HVE2fbNaQj6i2j0D5NoitDEa5bTkl+TzwC0Q4sayjX0CRV
n2Kjq3cmkXDHpseCAX7RcT6Hnivj1VggE1kVKoouKpILH7K09c4jTcTbblDmusyx6nSGf6GD+Vx7
RRQ9k65LvAWr2H52ux4uPe/aMNXVTrlM7IaEfHMmxTcV1KqDIoRw62gZix1v/Ss8VceozNY2au5r
eNq8fEKTsc40eBuiI6tVl9X2nSJkczPUQg/QhYmzn47NoWtmDZLfTKmUxdqR/rck4qWeAzCWM6ku
enVRO9hSN5DBNVLSmA8ZZJJvQEG75ygs7J2QRrE1a8vmU5v5RvZmc+EmGktKZ947YzHCROmcxedI
melmzc2c8T4eJiffOl1F+oAcyeBIUvdzx+tLltOzXiTNzpCsul0fmTsc7uFjD2VwmwJje/USJ5uY
DpjpRYS4kUaZHDGNjW2x8Yq8Xye0FPaszmpbO9QME7ryjWfb5iryWsLYJ+V/9lQ5fIso6razXgIo
rMOi3PDciBtBwy8/T6nEd2ekD9BApheNMR8DtdnWL4Cj9ydPY0msCp0vOfFjuZHRYoM0Q28dU/Id
Q90pryyjry7ywXgA3kf7ngFrvfe6KrsZq1o7AhLrrwCVknBdJ+xmZC5SFSRUnO6+07pk2qomo1Hi
d7BDgxl25ZFtHERCs/fZWCprGwvpBSaL5FJ5mMUeVht77Nm3oxXNFr0McrMr2CPMvUlGdUQ+D03z
1WjOxbWmMT1FgbiKu7K+UI75UuW1G55r3MjxifiNj06iXIxP9o7kR0M7NGA1Q3OXt2z43FXvA435
MoNDQUcVTvPVTL/huulMr/jCtJYdhoA6W3pt92DL0bpWBIyyL8rJBRVhQ/tUdcYmykv/OFSuSURk
2OTTGvetvJWjhkEf10sf7aVwM/Vg5gOMu7WNOLcl1t1xK/dIQpXXaETMp6Z+xYuS6170ct7CRqV1
QkBHqD/NcT20gS4Bs9UTPpWPgOfNWm0aezJuytHvwtc0RNFhk32y4g23ig2hMTllk8KdaxNi5eON
QGkljCwY+yUOW2/99LOrhRPwobInqdGu8kFbVV6HmbPvFNF3y05AXIC68R+LSdovmcHwH8IbEYcH
I251zLP1MF6TJSpeaTa02Y6mAdYOppxUwr2W+HTRabPAQrIzDkmqhXJQ0OjGvRUhq6WbkDOv0Ads
Yrz7OGKbhbiJCHTEN1RESUq6UOKX1ZWLULRygqmrY6s9ZURm6euq6lGkuKMbbQjUcK4gGI1bW9BH
0vW8T1fK5hrTNwin+3zwzJNytEatMnKASPQp/AEdi+VclL6oD1ni89yPdri2iWppGdVa7q7DhrQr
3d7bVbHKrhcG9hwhDcSUZFfnMbbjUyilS0bhgoEg4cXloeoTokY6EMWkQjnm0XPVDvkn9keqY95f
kZNsVFRZ2lZ3E/3OzRGsOyZ64cCCDQoiqCzReHXVrde7tK4dum0kJppswC38yzjGsDIpIj5GETH1
pExYzXMHsRELDuTSqf7MGqUuaa46pHCHxOmQTemtTL3W76IZlN5INtmDLaLmRpASxOJQ5oc8cpur
qvVIrIdJeexJq/8ym46NmsFYNy7yNV6d4b7goz5lLo7PpvC9p54Io2rVYkrZp3Y9noDVzRdMIr1V
VI/IDIcpZTdvUczVVX8ponHL3k6gSdMRm7dWTLxO2ltik7KHv2a2j3AffVyTlxI6YtUeMCt1O/Cz
887uCxtul0Hja260PhjyKr7CFM6kQ42md0osXvE4Dwn0VDi+GOyNd6Mv7JVp0IkEvRZfyyka0KjH
2QbwHFJnToDEOuR9K2MQMa/GWXyyrFqxFmJefek9s73ArGx8pX9SbWGHYJ43QmPvNLX1Ed6TRIdf
RWtpNNE2TSg0VNnmlxmww8eO5/CCsl5dQ4nxz8hlyoDyIT1TiSW72or7y6yy58BGSbXP5/659kRy
nkh9+RjSnrkMQ8PnQxqHnUAxYwLwKj2oCku/bMa4aBfSnXcNEmLc4SdRL6glcFw42dqihL1B5jIW
K1F4zqGg7LrJnEWol2bV54Hw3ZUcC32TTZV+iPXoI2Mth4KCKjynZl2iOC00pBlYB93QPo1lqG8E
GXgXdpLoJGtiJ11W/3o9apZcC4piJo1G+6CZHTytronoFgp33PhwE3C8jQ5WELQzAS0EUpLKyGRe
XiwSnpWeOUbEp+lggCyPh1qBfqtQVryYI3v5UVBlrVwQ9KxuKvPRMPb0ztw7S6VexJIXFUkU3zfO
JJObt03rf/f3f9rfE8KAcOP/Huw8JipiiPHzSOevH/o+0mE8Ixz+ylxm3WzmGar8Z6YD1ppxCnMV
8kH8BYrxfYvvfxAgPSDZ64SZLwyH/2zxnQ98moWgwHE902Sj+W+2+GC63m/xObzlAvig+gAS8V5E
4vVOVVU4HPaeN5U5ytPKCxRMiWAup/qcoAHhln+eSs9eHrooftA7SS1LpvEpiaPu0qqchAW0t7a2
C5V0oxAxXcdTJFlYyvy+KidcyFQ/hzps78MeSuayXL3olsxUslZc4Afw2OWj2TKYlMXA3d0zaXm1
w7I6VTFRzmIa4U7rJGQG9J3sF0vCKF/h/PcfQaZoX7PRHR9oVBbjV+oi302PSSOGS1jcG8Xsn5jv
9KSnmfR2Ts9khNE24uRVBA7ysoN6a8DBr7R7Tdhs4Hgl9RvppQSa02pdNcUi+gR8O14aaqRllsXe
c57lLJtN23tclso09yiVIjJFDVCzmVPT3KYjB/h3IMDSqHWxCpvssyjm8hQRB02lPou1rUT2Cewr
21EjFGuNiVOQh9bwSPbutOzJ2EqIZpn0MlO5JqlPdwlZptupj7321DZ5wqtlHB9ivYmpIMgIW9Vz
X7uPsqEjH7i0E1HYYkqWuENCvd6G/qIIAzTRmlc107l6qzE0vFe8Zl86KQB0OPkgn0Qk6Brgyrsf
B2u5ypnBtYgr37j3M5v98GTSggVaAO42lzYf31ok0xD33lLg0dHuAmBmskHeVeZs1G26tSAx4CKC
dqrBeQxlV50MlZPM9/bHHAMMljD8wiQidCX/booLfsa2kJ2eZTnKJ9Mn/BGaXBE+psID82J3Dm36
XiyemZj1G7an7T96VUaONQIH/9HoNCo35S2zj2Vvd08Vw2kUMEp3g1t1NOxb3zpYhMy+SGZ3zU60
NNPQrjXzyS8xWq+mwqhOZmRkBByKmRPCs8rn1EqkpzaDwX7UvIlfYGC9jzY42Li6RR/KJ8IsmV1G
0GiLtU39TBr7iBJsDZDeMS+hzg7hFhCTHh3ahdlJ2GbavjLLYVNCz5lGPj3AhCteq3wHinSxbWsl
Ygo2QTr/h/CWFPLRWU7em9ElrWaYLXOgyFci8awmZVw4BVOyMeZrmck7e8IppwVCk5xEyBTn2kt6
5/x2RMeFIbTtNcc6QLPl3qx7k+ubDlH4OKis9QJL2BQVYjD7eaeUIV500l69gH1LdXJ0JZ9q06CA
qYHY79mX2uImSiGCZVZNqm9iJWhPaMxaVlCbCM1XkZVzWlPBchYTafpRtGSEPr79lsC/u2ifTyIp
Azoj/LK2dLjLNDZLl9A9SyrArGEj06BL6+Aj9fV8x6CiyjAtLF8p8tvlmqST3ly2k78EPDb02VXF
f/tTwoba86MGrV81Q1+ocO4ReVnTFR9y3lBuWqu9KHRj2ia1zL/Ns80dydBjuacMk4DFCLJCsau6
fqhOrlGM0FrgigQjESDDuvXNmRBZBz/EgPynTyf5hLS6s/DUdYys8rgkyd4Xvjy3XhdU0vbo1BPb
1a8aE1V9VzDECiYagEvKYHhK/cl/5Mt04vXiTr1F3N5CGFWNfGpF14TA1s3xrucu3qWDV2xpMBOQ
2Ec2keht8yXVmN9TMfNY5H4+3nkEXQSuScN7ZapBcTJcgLOjC42zK+Bok5VnM3ECVpMDCfdLUje5
ZP28H2Fy7QfDd79AX3Bx7pWVR0ZCCAt9ZTYMZqMoFQdmrFzfCaH7o4I8c3Y6drccsBiuBsMWG+KA
zWijtUgIUZTDrSiUkAdrXPJ7cy+OA7S/ER12Wd7mwGuX+QuR5is3i80Hv5rdLZLz6atwCwtsUJvs
094zXnPbfVOYju6WNIj0XCsn+WrV43CPSH46yKIkVjbNw6BKtAecL+oxNkWzpvfdMnHyvWRHuCcm
kFHLz8ZYDvzdWG51j5lyGenz12SKmOxaQ96csCu6dJRTdxKrJXPtiRjY5tQODHhxL7jGoZuxwRQ2
ocz2MJAHGY4tXrYEfvDZjupL5ajiK8KlmKkCLv+cRn/NSKQdvUuKy1uj0MwRhyCwryDz+sY457QF
6ptZWAgQdH/XLjXcTBjbuqkzKAvMKFaZ1oXXkOR5m0wuzXqAVLdGWX6yIqDBQes3c7Trgf+eZVbq
5kMorepxiAHkU2tfx3Zf34JjjagLGuM2JFr8rnRb6jVGTd5VzdwC728uN3qExDEyh/EkQu9+pvH1
sWswT1YE0lLDDWXl83zIXO57NS4PPuNJ6RdBJ83rpqEp7hQytje5HuvnoZrJcA7rVr9p4qrajKar
Ex2nDBRklhpXcd/SZskHvdShCMbDM2j5gvAU0dm07ouuo/9R53kXaIbINwRSwsAY9fbeLDPvKQEe
0rAUWvhWU9GtCl2Th96xuKsHxkMjy/uJEOnuksHN86C8+kJSHALPGUbpwE4J2zPN9XTdC9+8m5BZ
QpFKjZvMcNpvPUHEzxO0zPqFQi3vbxJHhdEJP2V2iPKsDGStPpnTHN7EsPmhzzNoYSs4nvsW13KO
LZqyVR27xtKulGppkpkYuFZ0LL6itRzP9TJsDO3JvEmTtn+i8xWuoyJ2rn3p21djNxB3mpUxIx/E
PvKS7kR2oYe1Wa6x4mo3gspp7Ypu2HC56NwIZzzKpiifk65lqFHJh7CT+hHizGPLkriJU+5TWn5P
hhkd0iFtzjCvxKdhiCBFu9mk6Ko2Bl3eOD41kQAr5FXdRecqWlvo5TLXRCqsM2xeuZUcxRm4iOAM
PYMoPWHla+wwXcvip106gltFRwpSDB4GiNz4GKbCXUW5wwTIrESAYTRb45/N14bsuQ9MWo5AsBhw
Wn44L0NxZOUOS/jWR/A3ohGX1o0XCefa81V7VykCN1aKyRDnE+Ndnset5rYE0aoMtlgXPTh6bZxK
xsCwuUcgSbCGttDci7skJQqY8jnNt2a58JrMPGXSpJO00LVobVZkFMbX2JqsLf7Z6V5Xqj9NjaV/
xGXLC4qBzwVvoH6fjCT/rltywSxaPztZdjH/aQp5YgJa38Y2zcqAwdewwR9L5R0PlXHsoJrfJImj
r1XoHGiCkEwMMftBbwgUWNlF9xh38SdEfSGAfIPc9Gjso4eeKenKbcaWFbexjo6EYTTqEeGo2D3o
sjp8D61KB5pJBWaEwHM7/BFTFts8CUWLxXm06y3OQFbHHE3sqnaLnJkWKbzS58R7wqvvmPu622as
w3TDcshYDVT2GiYyzbIQmuWojNuY6KBmBYAAOsEUNSdcbMJa6fHUnUYlIB2Z5ogQgfcpIhFCiwOX
980r8CnnG2OqAY+dY897qPr5F+m69R5QWLjJl60Vo1PFSHHCrySMogryInXQR9Vyk9JDCrzO62DM
GOY6nHIykvua/jmg5VOWFv3l3HjSemB9ww1R4ubpAxgCxXXaJlbQZDYju2KMnNucCHoaDZqvwCel
bAvKQXzOsO9EW59QYR4gnb0gxXh2FbHIRn0+nssMHAMTN39k5OeFNw3bgAsTuzlv3smKPrlFT8b8
bCFNC4X/FMGJuJ1DpOGEUMbbOuums93Y9iVE1lqt/LrW1l1lg3Sv8vY0GvW080oSv8iaaO7joTjW
Q32S3jyua9+sr4qmar5Au9F3fVurowFbb6ci75GN2rB1G7XuXSVu0n7KSdLoswymAoaY/NjEM5a/
xJ/J3h2EkmlQAapLMaU5821n6fLzSO4C6cW+mfcrWTKTtGjq0ramvZt1Siu+TEvXlySC+UqLEfFu
IoICu89eK+9lN5X0idVfXWN4FUQ7hCP+EbR5txXtZfnWaC7fms5Wqb/Ax5MXo81GDnNj3R2yIQkX
X9qUbbwsjRdMloC2kBT8SQ3wF8rweuFCbm2aIksOhC2Hj3OMukFYyovca+wp9TWr36EtWEGH/Q+V
/D8Ymd4L4RecLiM0A4CwMIR4D2uOsMhMZsS+1lVKHAaLSpQ0MPN+ntzm1VdGsvv98WyGfT9ZRgAd
WoAPzIXUQ0fwPd+U+S05lnpT7UsmBmcEafKp4cX8kmktbV+8yl8giQhxiTWqw42sUHNNAVSQuLhI
7TTnzceDvQHJKtRVoXrjstCcWR4VhLTHPm79TZ8hzFmJuQzZthVO86pHuuVT0It2vjMdDR4/PUq1
T7qObaZM7RcMk0N7h7bNbvDxGIgPg9Khjfo8U08wfvZGCrYotC32+hG1CKnwxn3hWvJpyKfmlVum
/ObNfXlnkWFF0nvd8O8dU5eIJWHgnyNqI215d+oUWIYW3swgLhoioCgcdl5UoWLjH6orUUnD2anY
QPbcwL56equFC6c2/hVjllRTHZauWBzl+AJpzrwbeGbskEOn0au9PS31sp2k1AYd4a3Rn/Ccv3zZ
HAg+DdsACIXm+7uLFFGBTI8D5XHOVyy9AtV4WfP98OyJlybxqK2jaqQIoe8rn35/ry2n8aNj3gcF
BZcKhI4gM9dfJsg/znWlNhmuPo3VXqWS4d2AMyGpk4n9Y6721QiBZUU2EEWANhSUbb8/uAHT55ej
M7vG72kAhfnl3MF+ajDTVLVnpMyn90PEOMXNavO+TBvKZmE4nHwvJjzYEX5CJPNlR+FXRm6+j8T4
Nx/rv+3NP7U3Hb7/H767XxhOH5PmS0XgT/mTfOGvn/ouX3A+oAbHA8kLC7Xoj1gI3/xAXrWDhEAA
bKaDxV32HQzhftC56wWMJlQMdB/5Nf6WMAhitn3egNyUb/fIv5Mw/PwSBwdBeYqqlHcqn/Zrgiqd
1Tjr7Ng5sXlXe8Cc47VtlGo/TxOdnVbRTvzhAv1x1fjrgK7JKJEoEMJmDU7sxyeL0CBTmrKwTxYz
n7XRD8SM+B1K7tyr99HU/OmF9fOi8ffxBCg7DFsWDeZ37mI/deaGClSc3Cp2XlKfA1hpatw3Nr2u
35/azy+Nt0PxVfNd2zY9CFaan09NxeBuuswQp6wY7JfEJS6TERAPsEOf7LKdZ//RzVBMKZTrt78/
9D+cJXeSTQa0BzLkF2/4UGeEFWpKnBqTbkPpsQNcaXa5TIQjVpTfH+zd++ntRLkDAY/RAQVd8r4l
PpLfUqD4FaehcjgQDipaaSQhsSD0rUvfqLRSGR9RrNAKm1TcN59A8xDLOOaJFuhm6Z9//xv9evoO
nXlMIQsozWXN+PnKp0YcdnkUipMH0RF9/NK20rWM//n/HYtqHywLtzA3zrsbCsS5nsfI309WMxiX
ndCaVxcKw22Xmn9ahZYb5j+r0HKdHRCtOL5sV8f5937Dk7SE3TlVJ059GH/7qw1m4vb+99eOlxCW
Rg7GW+rdXQv5SLitmYvTTDguIWU9S4u32ORIP6Nf+PuDGcvVeX9KFg0fk00Ql/C9YMoLEYTMqPZP
KYBLhBk9xzTIXMF7tfTuyDe1X1DD8pAmPpypuLUOOOisP2wu/uEOpnfHa09fHlVIvO9umBBbZxgS
IXQavdY8WllpaKAdfO8stYY7tPbZbRCdwDI/zfhv128PLz3XZMcb5E8p1v909wLRo7m5fNPuewBC
lvuogzLJw8v055aRFxTHZQog8Mttfn/9/+lQ7D8B5NFtsH7ZQo/SI+rSra1TYnN5/beZh5aTJ4oz
km/i9wf7eW3h9b0gj3QX6hD7mF9vX3KiENTUUjuGk87eV9OUfCqBTT/Nby3gcmmU//6Ixs+v4OWQ
rsfayEyQuxnP7Pt9WzYLUGiIwPQQQyWzALqwjWrGW7Ty4wKa5nu17Hm8jr3UvE8iOsvFiEXf1Uo5
rOkrIcuvWf7e3iCtyNiTT7PJ1CGMkYatE6P600ViNvnTIwGkxUF0t1jQKKgYg74nbZTemIqxsMSx
yfUCEmc8b6vE0baRQSgZqpkCWnuQ0was6NQS5uBsDD7sRlHxvfVv+R1pg/DuDaHvvc5W0b6OjOOd
lR/PPFcm1st4ravU6Fe2MbBbNCJfvNSEj99CRVF7PeXHAJxbB5eGp6JRZDLuMNP6qe1dDKmRwPaV
cgEBnaTTNRN4op8dxGiPuDg18I1+WBt7o7H56MZF6r0Gsu2AlFaEYa8iOqzOLi9rjuFxpd+cbXUN
unIleoGBE9MZkzGiHkgwEYZ8mtACw20M4bQcB3qyDBKjQq0nZZTxMUMG/Jqlef3kStzqR3BsbMrp
JF5rZqsxz2E3nDwbk/+/7J1Zc9vIkoX/iuO+k4F9ebg3YrhIsizJtmyrbb8waIkGQKzEDvz6+Qog
ZZGS3e1GxwxiYvDkMKkCqljIrMw85yQ/mdmqhu/PKjQU73YBIUKU+8aa1irsdo0M37qR0bDvj9hG
WerrsPGV+wS91AsKhbvb1EArkLz2bm56jgZbL7NLfYZeOB5Gbih20W2Cl1RAD1DHm8zVWmNFV97q
rtEU73ylqtlDmoFxoFGo/DGnDEVBhYz4LWnf9k4poVYltsbvFBoVJbk6zR58FCWUmaESi7bZitSo
BUrvrkgavgXiCjYdmvTU6baN/LHNWTcgbgQhnZeL8NSAUwwkJprQTbciEAD0QGtLdrbmkmmchVHT
mpeuOJhMQIK8g0phX0kUSm59+Hs1SejJxFjooOVvaAvLriGxp69Nw2c1G/qI0NA9pgiOBMHKNC4T
YS8npUl1MKNReXCuUH3ezWlj4YdLms5mD0ZMzzB2sNM4y7C15Bt3Egb8lHpI5WwVW7tqQcFA1Eg7
+BaNItnL9OO27zKytwS4OZJZwEaoe8sWvijPTcpxTYBfnqE0Tok0AQ92jYpw68xlL9TX8Oj0tSHo
c0RDKQKU4NzSD47aKhdtS5Z4oTiG9jUqy+ij1XrNNbTEYLHL6lgW7TZl60z2pPTSC+KSvLUoc2ZB
DbEyauNiIdEO/SOiMB4yV4ZFloaej82NRST5JtRchINCH+1qT8/UeU2/ZlKabfPRh4tNXhNSAell
gWdhT8I5kbLofQ4FkQTrqgg3sZ7m3y2tBUynmMUN4jFwYUivgwMtfCzTvEXuc1lJCXm3fNIkn+ll
l2ZnoPiM+7o1gVvlUXQVZ1LqnBHXmiD2ioSM7jaOzsu4iG/sbSlDRW0z96ujTnTy0jlCkIZLNipq
Vm/kJjd351ZWGV+QOYHtHSXtV8Op4ktVC0nEI5TdfiVR5S/Bj7bkVEp+RpoNw3/yq+grmuO0rIxK
8rrk0M1zcRglX1HvMjgCaThZ7jgDCk5ZeAaSBx0xF1IXHVlWt4WfTV5H/i55vU0hTDR60WxWTlwt
3Yk3eU+RMvzs+aU2hyGB9kPkQb/cof8PJHJt5tAULa+dLGh1786LMpXPwiRmIGtyg2KUhPlXVzF1
oBTU2MIwAzUmAb4D7QHjBuyIE4tfPqmuOOlaF1RRG31B0+9qpq0Q9RDdgVYLsufua4skG5wCgARt
3EyWShgXnxKADMm8jLIzWmA3SI1J94GZxZ/twFNAw8r1WUZLw0UR8Bz2Kg/f45WQRmsx71eGtqsg
XUn8oqajbK9i047eSXmRQKbJ2dQTgxPZulmBGJgoW16JLCNiWMZJrmzfoOzFARvABYVvrG3+4KQS
BiluQSA0aM4pADRLmyojKO6lVdQ0maWlYY2GVbyTylloriiGK/ok/rKStZpWJTs6ZDdkNfLMxh9b
hb4CNaBoYEvSQIwm10l2jswDJghrLPgeMda2Jo7K6EgFkals5Y+iu8kOmou+u9BqWLEXuuxD7krY
tvPYhIQ384Mo+KLEOzTbSxdIqazGSgyOzs3gc+hb10q+N0mpgQAzYQgFgCSW0VarNqFV7Zw52g36
H7axsl+nrp1d0K8UwG9UO14xAyDhfsvKfL1NdHWp01HWmcO222Wfgxbu1gfYubF6YSmudVNCzp4b
AV2n3araXWxJ/50hxARy0EbcbQZjt/pU6ml4azjJdyVoP9eKJr/1cyThsKuwbxQbBK9G6e7ByV3n
ofW86oNTmPxyvPHb5Y4GWqjsOnC0EU/xAKXvgsy8hM6FakddBUkIPwU7Duua1lsXuV1LAJ/j5hrt
Y/XWgCk3maWhDwjU4FfYzoVWzx3ghhoCtZwH1zWJ1rdgIIK3O2p+t6Fn7eZpLGf3WjkJljFww28I
55Vv4Ki2IERWimfMMkuFSOim7qwq2orC8i7AXCBIC7HP0i6bqvy2SibVhyp3/PdyUcBh9Bz9q18Z
yA2nFEHwlZR/Zjuy+Dc2QjbXKZ2cLifoxhszt3SyteLBiCOnCVqX1Pcb2ZDAvGs56lbnMiaP0nQE
ir+WFWU1o9uiWZ+5QaR+NPyEmmikth8Sz11dSU3Rvs9dibbVpVN9oVfErlhKWaZ5l7VX1/ocPOME
BvKqsvwbowb7e267RXZBlDu52ppt/EnyUsWeT3ygAgjWmBL9Ntk8NxUe/rtc7rLrIknozYojfEMa
LQwWie2u0OKn/ddrF+N2jmaWTHdqThaTuVOa5XtHKSuwuduVjiocJu+LX+cIODWBflV7CmaUuhfK
E7ukjKoFMPZiBSQyVq5zs2n1WWPvYH5agalhEOVqEyuoc53Z6CGeOXQyfq1pO2WpBga4iML0brNQ
3n1CRDG7swB5LMu6BfG+rSm0mIYGdYrKKdTyrblQk8r0qEC27oMU5vihXEI2D+K0F6CQjfhV2RKn
REFrptQ2V95bRQL/JaXVBEhmrjozT92pZ9ZETanNJJF+tstMWCSx4tnZecHe/b4K3PqPxFLz+0qH
VlIZueGdScj/QrlFwwT92zgwoXJaavwdnvIOmJoLbffCzJPvuls777JtiFZc62X5pVrVbjyLY6iT
AFl3DVjPlCI+3vntBMbZUpGMVb6wHUHcaJu6pkoWo7Ook3O3kLuEQzjRzPIzgoAx0Cmn3b4F/kG/
hRX4qbeRHdBTJAKh8N6l5cUcn53J2kWYVEFd3NXurl5pfQT7/7nQP8mFUuf5pYTHQQP/Vfz9FVWy
Ivx2jPrs//4A+jSmtmTTCQHlW1VgPolT96BP05ySXUHKQQRDtowo7mNSVLWmpEphWSGmSdIJFZDH
pCgfWSTqSaVakMV+F/TZaTj9yFKIKofQ8QBFRUEN4KeY+dMkZSNHPn1JaunCr+N56HwP6HVTN7De
EemIKtqAedIlR9SlvSo+y/5ktlWzxa8jWfskku0egTAWkjtzVuwu0n3CLIt1GmRZliNdQJoC3a19
boBGZaW/jMIzx0fwXsJALmxkbTmprK4TJLTPTcT2lpXyRSsVsOML2iA511I7maFzgJwPymWQzHZC
QVDTy5mMTuekxI1KyT3xJ18iFkNwYeJ/3WbKUvyz0TA8XvMpa+lYjYZFNlk2un2hxTkgTsc3rjhR
RDCvpDwWqvTAGxeSX8wbNbprLNR42RMXtWHNUOOdaYr6xikqkz6jLa290AyxBEvewijpW2um5mq2
zPwrAFfvwYIVgGo55Uzs/L1hf5HVyTJzEOPPeIJwC07MUOfkfOchovYYRg7YwaKsw3la+Lf1ZPUR
orwgJYfLMk++EgxI515QvHMyE1nJ6FuLxBSsivkOLeJzWmdbswrNJiq70X1YaxJC7mDPGqm6jzRn
4WD1rgAnIFFMD6nEyLhZe+b56lsn3Dp9/uL/jHHZT0TUQZZR7uXN+2KTNrebDHf8SJwUn76LvSj/
GP+9Lx0YmS8P9GrT3flPzBXMT4uelUfI9O6huif+1RgBfYzz4oHeHsLeEG+pOuDyII4A7Xb/DdZ4
akKWoy6IMRKX2t3oyeL8bPq/nlm/jr/+ztGT38dFlIv1d7z4qASF5OFfm/vJCE/mbk916vumqLV3
F3N8uga2PZVkmLSPa9Df8H9+DX7egIUGAv0P0yunP+6m39gB1NpkwOtwEBBzEheV2qergLA7fQrw
VPu9NqLpAzngYYftfw3ZeprD4Qf7fY6Pejp76pdkrUk2UpvoLrw4NxzRIgBbl5Shq6BMaRNK6Xa/
CPaJNbBs+OlAMqgi9KvAqWRcqwBLZuiLoLIIBhViRcGoPt0DFuVtuCx0iOfs1V2jmz1VlaFbQJti
7akS0S+xu04WAdXOKaujk5ejDsnVv3kjehHQjuHlHWQNaEgBVADJBTqQHSb5dCeYbJFOh0Ec5sf1
AgAc56UdNHvVnEJQo6wkExuI68QT0IZrSgqPyqbWi8P2NxzRFkCEWxnsEawp5WgTlfb9qeBkFWxr
CvFOxmXsjWV/BBvRKqD43tvnv38o6MJQhBKw+C9vBUlHpZI6pPG/dS786ZmINjCDtwAHP7yhAS+6
t4Un7tDUp0BBDYHU7D8fnTWQUakYeihQECKlbbgMhuDFPWBxNIK3DxJl/4XRbYW9sOowo6iSxiEC
gAParwKzfOoSLEn0PQKUg3XsrvEdjXiF/2KodPJSPQmVlKlBTw5LoyVnd50YRUudasA7QArtj8mj
2wu0YRWwn0F7QTOZpaHyY5Ow6q7jvcDaYBjEKWq/F8bnIGlg2f80f983aBoOEMwLdaF+EU5CJlmm
nydMdgGHGdspCaSZUAQftgskmqDRLgY06Yu7gGCJ2xgQB354D244ogMCmMZnfVt/N3GkCbvHWXH/
vj87LJLjtsCiilPU4y4Z1yrwI1lDfSSdZjkt25poWtBdp97BmBJRIThA8NhdI3wj7MFJRFJIkqlR
lAAM99Iq2CqJNklCOmv/+fh8JN7ttPTzu28E4ROZVIXizD5NcGIXLVRA6ANjdqrpYpnGtxfoHzPU
O6gS6oM4Qso6L1pHW8ZuyIiWUMvqrtElVUHCCMDzMB+hT9GRIl1yiCBOsimGPYWJQOUP4ZdxrgLn
XXtoFMlJgdbZpg0Ot5/l8zeCpLPQY9l/Pjq7oJDqGOojNIO9QJUXJc7OOJ6mVWxtypZTCdj6O43p
oEDztqHTJ5Wg0ssPjeN96MCATwMokWHHKAKX32+C0ZlFgewemlsjdCCDjKoZIVJ3nRwUUHciwmK1
4QyM7dCMrTYGz5/MKolDRKb67LEoWRztAnuK1yDrdnhJRrcLVLIJ/UP9/dBJlYkPYbuRLXjZFNhT
lToDh+YfR4hxHZoV7NTgVWCWgmALJ+9FtyDLiBvrOgVHmF7i6vN5Y7KLwmsNPSKoKDhDLrMPtYYT
i0DdFaIMzEn4Jd01Pu+ggmIaugoE07SYEx3AH2f51C6Y5BIoSyow/vprfNaR8/xgH6lNSTDiA7W9
dTzZCwh9T+lXyUJZI3wXOMgO3QXKFKQJBN1DmHwyfxLuVJ/p6HYoTo7voKga8tBVUKmpqIImdbCL
J0GDSWLJwiyKzmDdNb5VAOE2OHQihwregpPSy96BsgOfqBQefqB2RuYjwTKygQcFkGIvoEFOUqX/
qZ8FDSQbMAgS+hR7w9jdcEQ+EmSrAFIMWgUSS8wOvuBP0DmcGKeiQoUkzH6zjG0VANcOt46UoHjr
SSnT1KG7js/OqBKxChyfqciObv4CUjN0F4A8UehCAfW/v07SCOKkBFhaEuiU7upfvjG9C6QRBpcd
OCPgZDQOhf0sT7wD56cp1pdMw37BxzR/aOiDowYdFBZhkbQPCk4jSFBa9HsVzOcfkIVx+QUygsrQ
lBoFBxWwJnHB3jGcxNEdTOugCS2M75h2wQtSM7+bZCelCB6XcAF1lf46toUU30wCaNBQowUl8OxD
LaIoNdAp2yax1i/CqUW0pqIyRxPk/efjs4iAVodGTewFlLoQeNBPwwXQCrxqKFvt6/TjSybpljY0
XBBoBFkGv279xCF0xwJR2NpnXkcXOgLJGFyNJ70MZpdFgKzQXSduEXwOBCOYmdI+wfAbr8JfsJ2P
jJC56wUPHRfE22QvUUZ+9oUDF+L553sexOuHf/9LkB2OviioIf29f1BF/nME3+ks/5MPD56gu8/+
z/cTfH7ro3sdZnX4zwtvk67TexcJZMGP2T/mzTqET/JfwfrbOlw/1Qpj3VnzH0/y738dPeeTw+Gf
DJz5J+OKMt3gcVOvjY/7cSN6hMEYPrC/jrJ1dhhJ/Iw9YWHoyPN14H2P05OWEz0AePDY6KSn64f4
6VP3eNLhI9MG7z737ov8aPAOtT108MUmWFfrdPN05B4IOnhkCLypd5//Cefz53ytxwD4V7v7jFX3
Ho63dw/hHPr855uY9iTHI/eAwKEjX7Dinvd0xWkQKNSIhg78+mHtHm1AuUetDR43CLwo9o7fyB4Q
Nnjo6MFbn1iRHl40eOS4Ov7xtA6vM3TYN89tU4+dHzwwAxT3fnPYBp3Z69E1Q4e+igsve7bMPWZl
6NjXay86sh57FMjwcZFKWEcPT5djz9scPnSWre/Rf9jk+dGeRvFNsAIHj+/du56zPiZd9qiQ4UOL
lqhxfrSz91iL4WNnaK1nXpIc2aY9Te6fGD0u0tOhBUpi8NBxlJ/YkD3yYOjIN5tv6frk9LQv6g8f
ulwf+619hXj4wNWri3WYZK537NYZX9Re/4nxLzdptjmyVCggiZLmPzH49ab27o/cGIOLSuE/MfgX
ehccRuriAwTK5cN/vEgb/0vHkJs4zd1X83Ua4ymPX86+vjX42bsbLNb+6bvfo/OHDv/W9Y5XvK9H
DR7WDziRHEc1Sl/kGTx0unFOee1dxWDowO/oOp01Qbk+CRP22O+hw9+68cPm1evsmW/r8/1Dh/8Q
Fz/ZiHtOzz9zg+cbUQxPMm3o8L/s+T0wVvi4qY+jyj0yaegzf8rX7mHmwqbs09VDh73bpCGe7Wjk
Pvk3eORfNF4cuMZ/rPE7kZMfv5pQOkTWbuhz/7HJ8lcvdo3s82GDx/+VYvvQhWnikIU5LEK3T/pC
76+f+qVM02Nx4nn+6SAT8tKfHSfXxDfug806/c9/AwAA//8=</cx:binary>
              </cx:geoCache>
            </cx:geography>
          </cx:layoutPr>
          <cx:valueColors>
            <cx:minColor>
              <a:schemeClr val="accent1"/>
            </cx:minColor>
            <cx:midColor>
              <a:schemeClr val="bg1"/>
            </cx:midColor>
            <cx:maxColor>
              <a:schemeClr val="accent2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A$1" max="10" min="1" page="10" val="10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13</xdr:row>
      <xdr:rowOff>15240</xdr:rowOff>
    </xdr:from>
    <xdr:to>
      <xdr:col>16</xdr:col>
      <xdr:colOff>495300</xdr:colOff>
      <xdr:row>34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D20DCD1-C119-40E7-AF77-852ABF612E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6140" y="2689860"/>
              <a:ext cx="6911340" cy="3939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91440</xdr:colOff>
      <xdr:row>20</xdr:row>
      <xdr:rowOff>7620</xdr:rowOff>
    </xdr:from>
    <xdr:to>
      <xdr:col>7</xdr:col>
      <xdr:colOff>68580</xdr:colOff>
      <xdr:row>27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678DE6C-BE69-4EC3-BF94-6BC325618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335280</xdr:colOff>
      <xdr:row>11</xdr:row>
      <xdr:rowOff>160020</xdr:rowOff>
    </xdr:from>
    <xdr:to>
      <xdr:col>7</xdr:col>
      <xdr:colOff>53340</xdr:colOff>
      <xdr:row>18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FCC074-C9B4-4643-9201-38718B817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129540</xdr:colOff>
      <xdr:row>11</xdr:row>
      <xdr:rowOff>106680</xdr:rowOff>
    </xdr:from>
    <xdr:to>
      <xdr:col>1</xdr:col>
      <xdr:colOff>3048000</xdr:colOff>
      <xdr:row>33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18558E-15C6-46D2-A8B0-C33C161A3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30480</xdr:colOff>
      <xdr:row>1</xdr:row>
      <xdr:rowOff>83820</xdr:rowOff>
    </xdr:from>
    <xdr:to>
      <xdr:col>18</xdr:col>
      <xdr:colOff>15240</xdr:colOff>
      <xdr:row>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EAA876-1C7D-E68E-DBCA-6371155E95D5}"/>
            </a:ext>
          </a:extLst>
        </xdr:cNvPr>
        <xdr:cNvSpPr txBox="1"/>
      </xdr:nvSpPr>
      <xdr:spPr>
        <a:xfrm>
          <a:off x="640080" y="266700"/>
          <a:ext cx="14226540" cy="59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>
                  <a:lumMod val="65000"/>
                  <a:lumOff val="35000"/>
                </a:schemeClr>
              </a:solidFill>
            </a:rPr>
            <a:t>What</a:t>
          </a:r>
          <a:r>
            <a:rPr lang="en-US" sz="3200" b="1" baseline="0">
              <a:solidFill>
                <a:schemeClr val="tx1">
                  <a:lumMod val="65000"/>
                  <a:lumOff val="35000"/>
                </a:schemeClr>
              </a:solidFill>
            </a:rPr>
            <a:t> do </a:t>
          </a:r>
          <a:r>
            <a:rPr lang="en-US" sz="3200" b="1" baseline="0">
              <a:solidFill>
                <a:schemeClr val="accent1"/>
              </a:solidFill>
            </a:rPr>
            <a:t>wage</a:t>
          </a:r>
          <a:r>
            <a:rPr lang="en-US" sz="3200" b="1" baseline="0">
              <a:solidFill>
                <a:schemeClr val="tx1">
                  <a:lumMod val="65000"/>
                  <a:lumOff val="35000"/>
                </a:schemeClr>
              </a:solidFill>
            </a:rPr>
            <a:t> and </a:t>
          </a:r>
          <a:r>
            <a:rPr lang="en-US" sz="3200" b="1" baseline="0">
              <a:solidFill>
                <a:schemeClr val="accent2"/>
              </a:solidFill>
            </a:rPr>
            <a:t>employment</a:t>
          </a:r>
          <a:r>
            <a:rPr lang="en-US" sz="3200" b="1" baseline="0">
              <a:solidFill>
                <a:schemeClr val="tx1">
                  <a:lumMod val="65000"/>
                  <a:lumOff val="35000"/>
                </a:schemeClr>
              </a:solidFill>
            </a:rPr>
            <a:t> figures look like by industry?</a:t>
          </a:r>
        </a:p>
      </xdr:txBody>
    </xdr:sp>
    <xdr:clientData/>
  </xdr:twoCellAnchor>
  <xdr:twoCellAnchor>
    <xdr:from>
      <xdr:col>0</xdr:col>
      <xdr:colOff>381000</xdr:colOff>
      <xdr:row>8</xdr:row>
      <xdr:rowOff>137160</xdr:rowOff>
    </xdr:from>
    <xdr:to>
      <xdr:col>1</xdr:col>
      <xdr:colOff>2537460</xdr:colOff>
      <xdr:row>11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B2F475-FFB1-14C6-6D9F-1F53528080CE}"/>
            </a:ext>
          </a:extLst>
        </xdr:cNvPr>
        <xdr:cNvSpPr txBox="1"/>
      </xdr:nvSpPr>
      <xdr:spPr>
        <a:xfrm>
          <a:off x="381000" y="1813560"/>
          <a:ext cx="2766060" cy="518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Average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Annual Wage</a:t>
          </a:r>
        </a:p>
      </xdr:txBody>
    </xdr:sp>
    <xdr:clientData/>
  </xdr:twoCellAnchor>
  <xdr:twoCellAnchor>
    <xdr:from>
      <xdr:col>2</xdr:col>
      <xdr:colOff>335280</xdr:colOff>
      <xdr:row>8</xdr:row>
      <xdr:rowOff>137160</xdr:rowOff>
    </xdr:from>
    <xdr:to>
      <xdr:col>7</xdr:col>
      <xdr:colOff>53340</xdr:colOff>
      <xdr:row>11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70ED83-EE1E-B6A6-1E47-BF5164E37E64}"/>
            </a:ext>
          </a:extLst>
        </xdr:cNvPr>
        <xdr:cNvSpPr txBox="1"/>
      </xdr:nvSpPr>
      <xdr:spPr>
        <a:xfrm>
          <a:off x="4076700" y="1813560"/>
          <a:ext cx="2766060" cy="518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Shared Of Total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600" b="1" baseline="0">
              <a:solidFill>
                <a:schemeClr val="accent2"/>
              </a:solidFill>
            </a:rPr>
            <a:t>Employees</a:t>
          </a:r>
        </a:p>
      </xdr:txBody>
    </xdr:sp>
    <xdr:clientData/>
  </xdr:twoCellAnchor>
  <xdr:twoCellAnchor>
    <xdr:from>
      <xdr:col>2</xdr:col>
      <xdr:colOff>381000</xdr:colOff>
      <xdr:row>17</xdr:row>
      <xdr:rowOff>175260</xdr:rowOff>
    </xdr:from>
    <xdr:to>
      <xdr:col>7</xdr:col>
      <xdr:colOff>99060</xdr:colOff>
      <xdr:row>20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F1735B-63FC-038C-072B-E07C34D663FA}"/>
            </a:ext>
          </a:extLst>
        </xdr:cNvPr>
        <xdr:cNvSpPr txBox="1"/>
      </xdr:nvSpPr>
      <xdr:spPr>
        <a:xfrm>
          <a:off x="4122420" y="3581400"/>
          <a:ext cx="2766060" cy="4343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1"/>
              </a:solidFill>
            </a:rPr>
            <a:t>Wage</a:t>
          </a:r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 &amp; </a:t>
          </a:r>
          <a:r>
            <a:rPr lang="en-US" sz="1600" b="1">
              <a:solidFill>
                <a:schemeClr val="accent2"/>
              </a:solidFill>
            </a:rPr>
            <a:t>Employee</a:t>
          </a:r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 Trends</a:t>
          </a:r>
          <a:endParaRPr lang="en-U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</xdr:col>
      <xdr:colOff>110490</xdr:colOff>
      <xdr:row>27</xdr:row>
      <xdr:rowOff>91440</xdr:rowOff>
    </xdr:from>
    <xdr:to>
      <xdr:col>7</xdr:col>
      <xdr:colOff>49530</xdr:colOff>
      <xdr:row>34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ECA4D8B-9379-43E0-80FC-33F1BE98F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563880</xdr:colOff>
      <xdr:row>11</xdr:row>
      <xdr:rowOff>144780</xdr:rowOff>
    </xdr:from>
    <xdr:to>
      <xdr:col>6</xdr:col>
      <xdr:colOff>525780</xdr:colOff>
      <xdr:row>17</xdr:row>
      <xdr:rowOff>38100</xdr:rowOff>
    </xdr:to>
    <xdr:sp macro="" textlink="'Date Prep'!I20">
      <xdr:nvSpPr>
        <xdr:cNvPr id="16" name="TextBox 15">
          <a:extLst>
            <a:ext uri="{FF2B5EF4-FFF2-40B4-BE49-F238E27FC236}">
              <a16:creationId xmlns:a16="http://schemas.microsoft.com/office/drawing/2014/main" id="{37FC116B-CB7E-B8F2-2C1F-E08A6030F773}"/>
            </a:ext>
          </a:extLst>
        </xdr:cNvPr>
        <xdr:cNvSpPr txBox="1"/>
      </xdr:nvSpPr>
      <xdr:spPr>
        <a:xfrm>
          <a:off x="5524500" y="2369820"/>
          <a:ext cx="1181100" cy="1074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129E06-A474-4E5E-86B5-7289B4EA8D59}" type="TxLink">
            <a:rPr lang="en-US" sz="4000" b="1" i="0" u="none" strike="noStrike">
              <a:solidFill>
                <a:schemeClr val="accent2"/>
              </a:solidFill>
              <a:latin typeface="Calibri"/>
              <a:cs typeface="Calibri"/>
            </a:rPr>
            <a:pPr algn="ctr"/>
            <a:t>2%</a:t>
          </a:fld>
          <a:endParaRPr lang="en-US" sz="4000" b="1">
            <a:solidFill>
              <a:schemeClr val="accent2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403860</xdr:colOff>
          <xdr:row>6</xdr:row>
          <xdr:rowOff>0</xdr:rowOff>
        </xdr:to>
        <xdr:sp macro="" textlink="">
          <xdr:nvSpPr>
            <xdr:cNvPr id="3095" name="Spinner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533400</xdr:colOff>
          <xdr:row>11</xdr:row>
          <xdr:rowOff>121920</xdr:rowOff>
        </xdr:from>
        <xdr:to>
          <xdr:col>12</xdr:col>
          <xdr:colOff>1775460</xdr:colOff>
          <xdr:row>12</xdr:row>
          <xdr:rowOff>160020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2644140</xdr:colOff>
          <xdr:row>11</xdr:row>
          <xdr:rowOff>121920</xdr:rowOff>
        </xdr:from>
        <xdr:to>
          <xdr:col>14</xdr:col>
          <xdr:colOff>30480</xdr:colOff>
          <xdr:row>12</xdr:row>
          <xdr:rowOff>160020</xdr:rowOff>
        </xdr:to>
        <xdr:sp macro="" textlink="">
          <xdr:nvSpPr>
            <xdr:cNvPr id="3098" name="Option Button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25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739140</xdr:colOff>
      <xdr:row>11</xdr:row>
      <xdr:rowOff>38100</xdr:rowOff>
    </xdr:from>
    <xdr:to>
      <xdr:col>12</xdr:col>
      <xdr:colOff>2392680</xdr:colOff>
      <xdr:row>13</xdr:row>
      <xdr:rowOff>22860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D0D3C4A-5B45-EF6A-572B-335EE5DA1EEE}"/>
            </a:ext>
          </a:extLst>
        </xdr:cNvPr>
        <xdr:cNvSpPr txBox="1"/>
      </xdr:nvSpPr>
      <xdr:spPr>
        <a:xfrm>
          <a:off x="9296400" y="2263140"/>
          <a:ext cx="1653540" cy="3505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Average </a:t>
          </a:r>
          <a:r>
            <a:rPr lang="en-US" sz="1600" b="1">
              <a:solidFill>
                <a:schemeClr val="accent1"/>
              </a:solidFill>
            </a:rPr>
            <a:t>Wages</a:t>
          </a:r>
          <a:endParaRPr lang="en-US" sz="1600" b="1" baseline="0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2849880</xdr:colOff>
      <xdr:row>11</xdr:row>
      <xdr:rowOff>38100</xdr:rowOff>
    </xdr:from>
    <xdr:to>
      <xdr:col>15</xdr:col>
      <xdr:colOff>381000</xdr:colOff>
      <xdr:row>13</xdr:row>
      <xdr:rowOff>22860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090A00E-2FB7-01AC-FA89-9655284C90AE}"/>
            </a:ext>
          </a:extLst>
        </xdr:cNvPr>
        <xdr:cNvSpPr txBox="1"/>
      </xdr:nvSpPr>
      <xdr:spPr>
        <a:xfrm>
          <a:off x="11407140" y="2263140"/>
          <a:ext cx="1996440" cy="3505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2"/>
              </a:solidFill>
            </a:rPr>
            <a:t>Employee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Per 1,000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zoomScaleNormal="100" workbookViewId="0">
      <selection activeCell="F2" sqref="F2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4.5546875" customWidth="1"/>
    <col min="5" max="5" width="10.6640625" customWidth="1"/>
    <col min="6" max="6" width="16.6640625" customWidth="1"/>
    <col min="7" max="18" width="9.109375" customWidth="1"/>
  </cols>
  <sheetData>
    <row r="1" spans="1:6" x14ac:dyDescent="0.3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A1F01C08-243B-48FC-94A8-F102AEB1706D}">
      <selection activeCell="F150" sqref="F150"/>
      <pageMargins left="0.7" right="0.7" top="0.75" bottom="0.75" header="0.3" footer="0.3"/>
      <pageSetup orientation="portrait" r:id="rId1"/>
    </customSheetView>
    <customSheetView guid="{948164EF-B902-4A6C-8E3C-A935061C5153}" state="hidden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5C78-716E-4747-9312-CF801E9CAA46}">
  <dimension ref="A1:T1925"/>
  <sheetViews>
    <sheetView topLeftCell="B1" zoomScaleNormal="100" workbookViewId="0">
      <selection activeCell="B20" sqref="B20"/>
    </sheetView>
  </sheetViews>
  <sheetFormatPr defaultRowHeight="14.4" x14ac:dyDescent="0.3"/>
  <cols>
    <col min="1" max="1" width="20.21875" style="4" bestFit="1" customWidth="1"/>
    <col min="2" max="2" width="23.33203125" style="4" bestFit="1" customWidth="1"/>
    <col min="3" max="3" width="8.88671875" style="4"/>
    <col min="4" max="4" width="20.21875" style="4" bestFit="1" customWidth="1"/>
    <col min="5" max="5" width="16" style="4" bestFit="1" customWidth="1"/>
    <col min="6" max="6" width="16" style="4" customWidth="1"/>
    <col min="7" max="7" width="8.88671875" style="4"/>
    <col min="8" max="8" width="19" style="4" customWidth="1"/>
    <col min="9" max="9" width="10.88671875" style="4" bestFit="1" customWidth="1"/>
    <col min="10" max="10" width="8.88671875" style="4"/>
    <col min="11" max="11" width="16.77734375" style="4" customWidth="1"/>
    <col min="12" max="12" width="16.6640625" style="4" customWidth="1"/>
    <col min="13" max="13" width="10.6640625" style="4" customWidth="1"/>
    <col min="14" max="14" width="8.88671875" style="4"/>
    <col min="15" max="15" width="18.6640625" style="4" customWidth="1"/>
    <col min="16" max="16" width="14.33203125" style="4" customWidth="1"/>
    <col min="17" max="17" width="10.21875" style="4" bestFit="1" customWidth="1"/>
    <col min="18" max="18" width="23.88671875" style="4" bestFit="1" customWidth="1"/>
    <col min="19" max="19" width="9.88671875" style="4" bestFit="1" customWidth="1"/>
    <col min="20" max="20" width="23.88671875" style="4" bestFit="1" customWidth="1"/>
    <col min="21" max="16384" width="8.88671875" style="4"/>
  </cols>
  <sheetData>
    <row r="1" spans="1:20" ht="15.6" x14ac:dyDescent="0.3">
      <c r="A1" s="6" t="s">
        <v>64</v>
      </c>
      <c r="B1" s="7"/>
      <c r="D1" s="10" t="s">
        <v>68</v>
      </c>
      <c r="E1" s="10"/>
      <c r="F1" s="10"/>
      <c r="H1" s="10" t="s">
        <v>69</v>
      </c>
      <c r="I1" s="10"/>
      <c r="K1" s="10" t="s">
        <v>72</v>
      </c>
      <c r="L1" s="10"/>
      <c r="M1" s="10"/>
      <c r="O1" s="10" t="s">
        <v>74</v>
      </c>
      <c r="P1" s="10"/>
      <c r="Q1" s="10"/>
      <c r="R1" s="10"/>
    </row>
    <row r="2" spans="1:20" x14ac:dyDescent="0.3">
      <c r="A2" s="8" t="s">
        <v>67</v>
      </c>
      <c r="B2" s="9" t="s">
        <v>65</v>
      </c>
      <c r="D2" s="11" t="s">
        <v>67</v>
      </c>
      <c r="E2" s="11" t="s">
        <v>63</v>
      </c>
      <c r="F2" s="11" t="s">
        <v>65</v>
      </c>
      <c r="H2" s="11" t="s">
        <v>67</v>
      </c>
      <c r="I2" s="11" t="s">
        <v>62</v>
      </c>
      <c r="K2" s="11" t="s">
        <v>50</v>
      </c>
      <c r="L2" s="11" t="s">
        <v>73</v>
      </c>
      <c r="M2" s="11" t="s">
        <v>62</v>
      </c>
      <c r="O2" s="11" t="s">
        <v>0</v>
      </c>
      <c r="P2" s="11" t="s">
        <v>62</v>
      </c>
      <c r="Q2" s="11" t="s">
        <v>75</v>
      </c>
      <c r="R2" s="11" t="s">
        <v>76</v>
      </c>
      <c r="S2" s="11" t="s">
        <v>73</v>
      </c>
      <c r="T2" s="11" t="str">
        <f>$B$19</f>
        <v>Avg Wage</v>
      </c>
    </row>
    <row r="3" spans="1:20" x14ac:dyDescent="0.3">
      <c r="A3" s="4" t="str" cm="1">
        <f t="array" ref="A3:A12">_xlfn._xlws.SORT(_xlfn.UNIQUE(Data!B2:B1919))</f>
        <v>Business Services</v>
      </c>
      <c r="B3" s="4" t="str">
        <f>Dashboard!B6</f>
        <v>Information</v>
      </c>
      <c r="D3" t="s">
        <v>53</v>
      </c>
      <c r="E3" s="12">
        <f>AVERAGEIFS(Data!F:F,Data!B:B,D3,Data!A:A,$B$15)</f>
        <v>93586.333333333328</v>
      </c>
      <c r="F3" s="12">
        <f>IF(D3=$B$3,E3,"")</f>
        <v>93586.333333333328</v>
      </c>
      <c r="H3" t="s">
        <v>54</v>
      </c>
      <c r="I3" s="13">
        <f>SUMIFS(Data!E:E,Data!B:B,H3,Data!A:A,'Date Prep'!$B$15)</f>
        <v>26277342</v>
      </c>
      <c r="K3" s="4">
        <v>2017</v>
      </c>
      <c r="L3" s="12">
        <f>AVERAGEIFS(Data!F:F,Data!B:B,$B$3,Data!A:A,K3)</f>
        <v>75580.708333333328</v>
      </c>
      <c r="M3" s="13">
        <f>SUMIFS(Data!E:E,Data!B:B,$B$3,Data!A:A,'Date Prep'!K3)</f>
        <v>2760656</v>
      </c>
      <c r="O3" s="4" t="str" cm="1">
        <f t="array" ref="O3:O50">_xlfn.UNIQUE(Data!C2:C1919)</f>
        <v>Alabama</v>
      </c>
      <c r="P3" s="13">
        <f>SUMIFS(Data!E:E,Data!B:B,$B$3,Data!A:A,'Date Prep'!$B$15,Data!C:C,'Date Prep'!O3)</f>
        <v>19310</v>
      </c>
      <c r="Q3" s="13">
        <v>4887871</v>
      </c>
      <c r="R3" s="14">
        <f>(P3/Q3)*1000</f>
        <v>3.9505952591629363</v>
      </c>
      <c r="S3" s="13">
        <f>AVERAGEIFS(Data!F:F,Data!B:B,$B$3,Data!A:A,'Date Prep'!$B$15,Data!C:C,'Date Prep'!O3)</f>
        <v>69393</v>
      </c>
      <c r="T3" s="15">
        <f>IF($T$2=$S$2,-S3,R3)</f>
        <v>-69393</v>
      </c>
    </row>
    <row r="4" spans="1:20" x14ac:dyDescent="0.3">
      <c r="A4" s="4" t="str">
        <v>Construction</v>
      </c>
      <c r="D4" t="s">
        <v>56</v>
      </c>
      <c r="E4" s="12">
        <f>AVERAGEIFS(Data!F:F,Data!B:B,D4,Data!A:A,$B$15)</f>
        <v>90040.666666666672</v>
      </c>
      <c r="F4" s="12" t="str">
        <f t="shared" ref="F4:F12" si="0">IF(D4=$B$3,E4,"")</f>
        <v/>
      </c>
      <c r="H4" t="s">
        <v>58</v>
      </c>
      <c r="I4" s="13">
        <f>SUMIFS(Data!E:E,Data!B:B,H4,Data!A:A,'Date Prep'!$B$15)</f>
        <v>22035033</v>
      </c>
      <c r="K4" s="4">
        <v>2018</v>
      </c>
      <c r="L4" s="12">
        <f>AVERAGEIFS(Data!F:F,Data!B:B,$B$3,Data!A:A,K4)</f>
        <v>79569.104166666672</v>
      </c>
      <c r="M4" s="13">
        <f>SUMIFS(Data!E:E,Data!B:B,$B$3,Data!A:A,'Date Prep'!K4)</f>
        <v>2781425</v>
      </c>
      <c r="O4" s="4" t="str">
        <v>Arizona</v>
      </c>
      <c r="P4" s="13">
        <f>SUMIFS(Data!E:E,Data!B:B,$B$3,Data!A:A,'Date Prep'!$B$15,Data!C:C,'Date Prep'!O4)</f>
        <v>45513</v>
      </c>
      <c r="Q4" s="13">
        <v>7171646</v>
      </c>
      <c r="R4" s="14">
        <f t="shared" ref="R4:R50" si="1">(P4/Q4)*1000</f>
        <v>6.3462418529860507</v>
      </c>
      <c r="S4" s="13">
        <f>AVERAGEIFS(Data!F:F,Data!B:B,$B$3,Data!A:A,'Date Prep'!$B$15,Data!C:C,'Date Prep'!O4)</f>
        <v>90871</v>
      </c>
      <c r="T4" s="15">
        <f t="shared" ref="T4:T50" si="2">IF($T$2=$S$2,-S4,R4)</f>
        <v>-90871</v>
      </c>
    </row>
    <row r="5" spans="1:20" x14ac:dyDescent="0.3">
      <c r="A5" s="4" t="str">
        <v>Education &amp; Health</v>
      </c>
      <c r="D5" t="s">
        <v>57</v>
      </c>
      <c r="E5" s="12">
        <f>AVERAGEIFS(Data!F:F,Data!B:B,D5,Data!A:A,$B$15)</f>
        <v>74713.0625</v>
      </c>
      <c r="F5" s="12" t="str">
        <f t="shared" si="0"/>
        <v/>
      </c>
      <c r="H5" t="s">
        <v>57</v>
      </c>
      <c r="I5" s="13">
        <f>SUMIFS(Data!E:E,Data!B:B,H5,Data!A:A,'Date Prep'!$B$15)</f>
        <v>20065896</v>
      </c>
      <c r="K5" s="4">
        <v>2019</v>
      </c>
      <c r="L5" s="12">
        <f>AVERAGEIFS(Data!F:F,Data!B:B,$B$3,Data!A:A,K5)</f>
        <v>83493.333333333328</v>
      </c>
      <c r="M5" s="13">
        <f>SUMIFS(Data!E:E,Data!B:B,$B$3,Data!A:A,'Date Prep'!K5)</f>
        <v>2815141</v>
      </c>
      <c r="O5" s="4" t="str">
        <v>Arkansas</v>
      </c>
      <c r="P5" s="13">
        <f>SUMIFS(Data!E:E,Data!B:B,$B$3,Data!A:A,'Date Prep'!$B$15,Data!C:C,'Date Prep'!O5)</f>
        <v>11509</v>
      </c>
      <c r="Q5" s="13">
        <v>3013825</v>
      </c>
      <c r="R5" s="14">
        <f t="shared" si="1"/>
        <v>3.8187353280299954</v>
      </c>
      <c r="S5" s="13">
        <f>AVERAGEIFS(Data!F:F,Data!B:B,$B$3,Data!A:A,'Date Prep'!$B$15,Data!C:C,'Date Prep'!O5)</f>
        <v>69820</v>
      </c>
      <c r="T5" s="15">
        <f t="shared" si="2"/>
        <v>-69820</v>
      </c>
    </row>
    <row r="6" spans="1:20" x14ac:dyDescent="0.3">
      <c r="A6" s="4" t="str">
        <v>Finance</v>
      </c>
      <c r="D6" t="s">
        <v>52</v>
      </c>
      <c r="E6" s="12">
        <f>AVERAGEIFS(Data!F:F,Data!B:B,D6,Data!A:A,$B$15)</f>
        <v>68427.875</v>
      </c>
      <c r="F6" s="12" t="str">
        <f t="shared" si="0"/>
        <v/>
      </c>
      <c r="H6" t="s">
        <v>59</v>
      </c>
      <c r="I6" s="13">
        <f>SUMIFS(Data!E:E,Data!B:B,H6,Data!A:A,'Date Prep'!$B$15)</f>
        <v>12649500</v>
      </c>
      <c r="K6" s="4">
        <v>2020</v>
      </c>
      <c r="L6" s="12">
        <f>AVERAGEIFS(Data!F:F,Data!B:B,$B$3,Data!A:A,K6)</f>
        <v>93586.333333333328</v>
      </c>
      <c r="M6" s="13">
        <f>SUMIFS(Data!E:E,Data!B:B,$B$3,Data!A:A,'Date Prep'!K6)</f>
        <v>2677815</v>
      </c>
      <c r="O6" s="4" t="str">
        <v>California</v>
      </c>
      <c r="P6" s="13">
        <f>SUMIFS(Data!E:E,Data!B:B,$B$3,Data!A:A,'Date Prep'!$B$15,Data!C:C,'Date Prep'!O6)</f>
        <v>527549</v>
      </c>
      <c r="Q6" s="13">
        <v>39557045</v>
      </c>
      <c r="R6" s="14">
        <f t="shared" si="1"/>
        <v>13.33641074554482</v>
      </c>
      <c r="S6" s="13">
        <f>AVERAGEIFS(Data!F:F,Data!B:B,$B$3,Data!A:A,'Date Prep'!$B$15,Data!C:C,'Date Prep'!O6)</f>
        <v>217892</v>
      </c>
      <c r="T6" s="15">
        <f t="shared" si="2"/>
        <v>-217892</v>
      </c>
    </row>
    <row r="7" spans="1:20" x14ac:dyDescent="0.3">
      <c r="A7" s="4" t="str">
        <v>Information</v>
      </c>
      <c r="D7" t="s">
        <v>51</v>
      </c>
      <c r="E7" s="12">
        <f>AVERAGEIFS(Data!F:F,Data!B:B,D7,Data!A:A,$B$15)</f>
        <v>63896.895833333336</v>
      </c>
      <c r="F7" s="12" t="str">
        <f t="shared" si="0"/>
        <v/>
      </c>
      <c r="H7" t="s">
        <v>52</v>
      </c>
      <c r="I7" s="13">
        <f>SUMIFS(Data!E:E,Data!B:B,H7,Data!A:A,'Date Prep'!$B$15)</f>
        <v>12058694</v>
      </c>
      <c r="O7" s="4" t="str">
        <v>Colorado</v>
      </c>
      <c r="P7" s="13">
        <f>SUMIFS(Data!E:E,Data!B:B,$B$3,Data!A:A,'Date Prep'!$B$15,Data!C:C,'Date Prep'!O7)</f>
        <v>74867</v>
      </c>
      <c r="Q7" s="13">
        <v>5695564</v>
      </c>
      <c r="R7" s="14">
        <f t="shared" si="1"/>
        <v>13.144791279669581</v>
      </c>
      <c r="S7" s="13">
        <f>AVERAGEIFS(Data!F:F,Data!B:B,$B$3,Data!A:A,'Date Prep'!$B$15,Data!C:C,'Date Prep'!O7)</f>
        <v>123495</v>
      </c>
      <c r="T7" s="15">
        <f t="shared" si="2"/>
        <v>-123495</v>
      </c>
    </row>
    <row r="8" spans="1:20" x14ac:dyDescent="0.3">
      <c r="A8" s="4" t="str">
        <v>Leisure &amp; Hospitality</v>
      </c>
      <c r="D8" t="s">
        <v>55</v>
      </c>
      <c r="E8" s="12">
        <f>AVERAGEIFS(Data!F:F,Data!B:B,D8,Data!A:A,$B$15)</f>
        <v>55605.9375</v>
      </c>
      <c r="F8" s="12" t="str">
        <f t="shared" si="0"/>
        <v/>
      </c>
      <c r="H8" t="s">
        <v>56</v>
      </c>
      <c r="I8" s="13">
        <f>SUMIFS(Data!E:E,Data!B:B,H8,Data!A:A,'Date Prep'!$B$15)</f>
        <v>8142043</v>
      </c>
      <c r="O8" s="4" t="str">
        <v>Connecticut</v>
      </c>
      <c r="P8" s="13">
        <f>SUMIFS(Data!E:E,Data!B:B,$B$3,Data!A:A,'Date Prep'!$B$15,Data!C:C,'Date Prep'!O8)</f>
        <v>29237</v>
      </c>
      <c r="Q8" s="13">
        <v>3572665</v>
      </c>
      <c r="R8" s="14">
        <f t="shared" si="1"/>
        <v>8.1835268630000293</v>
      </c>
      <c r="S8" s="13">
        <f>AVERAGEIFS(Data!F:F,Data!B:B,$B$3,Data!A:A,'Date Prep'!$B$15,Data!C:C,'Date Prep'!O8)</f>
        <v>138917</v>
      </c>
      <c r="T8" s="15">
        <f t="shared" si="2"/>
        <v>-138917</v>
      </c>
    </row>
    <row r="9" spans="1:20" x14ac:dyDescent="0.3">
      <c r="A9" s="4" t="str">
        <v>Manufacturing</v>
      </c>
      <c r="D9" t="s">
        <v>58</v>
      </c>
      <c r="E9" s="12">
        <f>AVERAGEIFS(Data!F:F,Data!B:B,D9,Data!A:A,$B$15)</f>
        <v>53607.208333333336</v>
      </c>
      <c r="F9" s="12" t="str">
        <f t="shared" si="0"/>
        <v/>
      </c>
      <c r="H9" t="s">
        <v>51</v>
      </c>
      <c r="I9" s="13">
        <f>SUMIFS(Data!E:E,Data!B:B,H9,Data!A:A,'Date Prep'!$B$15)</f>
        <v>7136444</v>
      </c>
      <c r="O9" s="4" t="str">
        <v>Delaware</v>
      </c>
      <c r="P9" s="13">
        <f>SUMIFS(Data!E:E,Data!B:B,$B$3,Data!A:A,'Date Prep'!$B$15,Data!C:C,'Date Prep'!O9)</f>
        <v>3622</v>
      </c>
      <c r="Q9" s="13">
        <v>967171</v>
      </c>
      <c r="R9" s="14">
        <f t="shared" si="1"/>
        <v>3.744942724709488</v>
      </c>
      <c r="S9" s="13">
        <f>AVERAGEIFS(Data!F:F,Data!B:B,$B$3,Data!A:A,'Date Prep'!$B$15,Data!C:C,'Date Prep'!O9)</f>
        <v>78966</v>
      </c>
      <c r="T9" s="15">
        <f t="shared" si="2"/>
        <v>-78966</v>
      </c>
    </row>
    <row r="10" spans="1:20" x14ac:dyDescent="0.3">
      <c r="A10" s="4" t="str">
        <v>Natural Resources</v>
      </c>
      <c r="D10" t="s">
        <v>54</v>
      </c>
      <c r="E10" s="12">
        <f>AVERAGEIFS(Data!F:F,Data!B:B,D10,Data!A:A,$B$15)</f>
        <v>49366.8125</v>
      </c>
      <c r="F10" s="12" t="str">
        <f t="shared" si="0"/>
        <v/>
      </c>
      <c r="H10" t="s">
        <v>60</v>
      </c>
      <c r="I10" s="13">
        <f>SUMIFS(Data!E:E,Data!B:B,H10,Data!A:A,'Date Prep'!$B$15)</f>
        <v>3843699</v>
      </c>
      <c r="O10" s="4" t="str">
        <v>Florida</v>
      </c>
      <c r="P10" s="13">
        <f>SUMIFS(Data!E:E,Data!B:B,$B$3,Data!A:A,'Date Prep'!$B$15,Data!C:C,'Date Prep'!O10)</f>
        <v>130298</v>
      </c>
      <c r="Q10" s="13">
        <v>21670000</v>
      </c>
      <c r="R10" s="14">
        <f t="shared" si="1"/>
        <v>6.0128287955699129</v>
      </c>
      <c r="S10" s="13">
        <f>AVERAGEIFS(Data!F:F,Data!B:B,$B$3,Data!A:A,'Date Prep'!$B$15,Data!C:C,'Date Prep'!O10)</f>
        <v>93350</v>
      </c>
      <c r="T10" s="15">
        <f t="shared" si="2"/>
        <v>-93350</v>
      </c>
    </row>
    <row r="11" spans="1:20" x14ac:dyDescent="0.3">
      <c r="A11" s="4" t="str">
        <v>Other Services</v>
      </c>
      <c r="D11" t="s">
        <v>60</v>
      </c>
      <c r="E11" s="12">
        <f>AVERAGEIFS(Data!F:F,Data!B:B,D11,Data!A:A,$B$15)</f>
        <v>40790.1875</v>
      </c>
      <c r="F11" s="12" t="str">
        <f t="shared" si="0"/>
        <v/>
      </c>
      <c r="H11" t="s">
        <v>53</v>
      </c>
      <c r="I11" s="13">
        <f>SUMIFS(Data!E:E,Data!B:B,H11,Data!A:A,'Date Prep'!$B$15)</f>
        <v>2677815</v>
      </c>
      <c r="O11" s="4" t="str">
        <v>Georgia</v>
      </c>
      <c r="P11" s="13">
        <f>SUMIFS(Data!E:E,Data!B:B,$B$3,Data!A:A,'Date Prep'!$B$15,Data!C:C,'Date Prep'!O11)</f>
        <v>109190</v>
      </c>
      <c r="Q11" s="13">
        <v>10519475</v>
      </c>
      <c r="R11" s="14">
        <f t="shared" si="1"/>
        <v>10.379795569645824</v>
      </c>
      <c r="S11" s="13">
        <f>AVERAGEIFS(Data!F:F,Data!B:B,$B$3,Data!A:A,'Date Prep'!$B$15,Data!C:C,'Date Prep'!O11)</f>
        <v>108735</v>
      </c>
      <c r="T11" s="15">
        <f t="shared" si="2"/>
        <v>-108735</v>
      </c>
    </row>
    <row r="12" spans="1:20" x14ac:dyDescent="0.3">
      <c r="A12" s="4" t="str">
        <v>Trade &amp; Transportation</v>
      </c>
      <c r="D12" t="s">
        <v>59</v>
      </c>
      <c r="E12" s="12">
        <f>AVERAGEIFS(Data!F:F,Data!B:B,D12,Data!A:A,$B$15)</f>
        <v>23286.416666666668</v>
      </c>
      <c r="F12" s="12" t="str">
        <f t="shared" si="0"/>
        <v/>
      </c>
      <c r="H12" t="s">
        <v>55</v>
      </c>
      <c r="I12" s="13">
        <f>SUMIFS(Data!E:E,Data!B:B,H12,Data!A:A,'Date Prep'!$B$15)</f>
        <v>1762873</v>
      </c>
      <c r="O12" s="4" t="str">
        <v>Idaho</v>
      </c>
      <c r="P12" s="13">
        <f>SUMIFS(Data!E:E,Data!B:B,$B$3,Data!A:A,'Date Prep'!$B$15,Data!C:C,'Date Prep'!O12)</f>
        <v>7346</v>
      </c>
      <c r="Q12" s="13">
        <v>1754208</v>
      </c>
      <c r="R12" s="14">
        <f t="shared" si="1"/>
        <v>4.1876447946879729</v>
      </c>
      <c r="S12" s="13">
        <f>AVERAGEIFS(Data!F:F,Data!B:B,$B$3,Data!A:A,'Date Prep'!$B$15,Data!C:C,'Date Prep'!O12)</f>
        <v>64408</v>
      </c>
      <c r="T12" s="15">
        <f t="shared" si="2"/>
        <v>-64408</v>
      </c>
    </row>
    <row r="13" spans="1:20" x14ac:dyDescent="0.3">
      <c r="O13" s="4" t="str">
        <v>Illinois</v>
      </c>
      <c r="P13" s="13">
        <f>SUMIFS(Data!E:E,Data!B:B,$B$3,Data!A:A,'Date Prep'!$B$15,Data!C:C,'Date Prep'!O13)</f>
        <v>87520</v>
      </c>
      <c r="Q13" s="13">
        <v>12741080</v>
      </c>
      <c r="R13" s="14">
        <f t="shared" si="1"/>
        <v>6.8691194153085924</v>
      </c>
      <c r="S13" s="13">
        <f>AVERAGEIFS(Data!F:F,Data!B:B,$B$3,Data!A:A,'Date Prep'!$B$15,Data!C:C,'Date Prep'!O13)</f>
        <v>110059</v>
      </c>
      <c r="T13" s="15">
        <f t="shared" si="2"/>
        <v>-110059</v>
      </c>
    </row>
    <row r="14" spans="1:20" ht="15.6" x14ac:dyDescent="0.3">
      <c r="A14" s="6" t="s">
        <v>79</v>
      </c>
      <c r="B14" s="6"/>
      <c r="D14" s="4" t="str" cm="1">
        <f t="array" ref="D14">INDEX(D3:D12,Dashboard!$A$1)</f>
        <v>Leisure &amp; Hospitality</v>
      </c>
      <c r="O14" s="4" t="str">
        <v>Indiana</v>
      </c>
      <c r="P14" s="13">
        <f>SUMIFS(Data!E:E,Data!B:B,$B$3,Data!A:A,'Date Prep'!$B$15,Data!C:C,'Date Prep'!O14)</f>
        <v>26075</v>
      </c>
      <c r="Q14" s="13">
        <v>6691878</v>
      </c>
      <c r="R14" s="14">
        <f t="shared" si="1"/>
        <v>3.8965145509227757</v>
      </c>
      <c r="S14" s="13">
        <f>AVERAGEIFS(Data!F:F,Data!B:B,$B$3,Data!A:A,'Date Prep'!$B$15,Data!C:C,'Date Prep'!O14)</f>
        <v>67191</v>
      </c>
      <c r="T14" s="15">
        <f t="shared" si="2"/>
        <v>-67191</v>
      </c>
    </row>
    <row r="15" spans="1:20" x14ac:dyDescent="0.3">
      <c r="A15" s="5" t="s">
        <v>66</v>
      </c>
      <c r="B15" s="4">
        <v>2020</v>
      </c>
      <c r="H15" s="10" t="s">
        <v>70</v>
      </c>
      <c r="I15" s="10"/>
      <c r="O15" s="4" t="str">
        <v>Iowa</v>
      </c>
      <c r="P15" s="13">
        <f>SUMIFS(Data!E:E,Data!B:B,$B$3,Data!A:A,'Date Prep'!$B$15,Data!C:C,'Date Prep'!O15)</f>
        <v>19135</v>
      </c>
      <c r="Q15" s="13">
        <v>3156145</v>
      </c>
      <c r="R15" s="14">
        <f t="shared" si="1"/>
        <v>6.0627759497741707</v>
      </c>
      <c r="S15" s="13">
        <f>AVERAGEIFS(Data!F:F,Data!B:B,$B$3,Data!A:A,'Date Prep'!$B$15,Data!C:C,'Date Prep'!O15)</f>
        <v>66858</v>
      </c>
      <c r="T15" s="15">
        <f t="shared" si="2"/>
        <v>-66858</v>
      </c>
    </row>
    <row r="16" spans="1:20" x14ac:dyDescent="0.3">
      <c r="H16" s="11" t="s">
        <v>67</v>
      </c>
      <c r="I16" s="11" t="s">
        <v>62</v>
      </c>
      <c r="O16" s="4" t="str">
        <v>Kansas</v>
      </c>
      <c r="P16" s="13">
        <f>SUMIFS(Data!E:E,Data!B:B,$B$3,Data!A:A,'Date Prep'!$B$15,Data!C:C,'Date Prep'!O16)</f>
        <v>16734</v>
      </c>
      <c r="Q16" s="13">
        <v>2911505</v>
      </c>
      <c r="R16" s="14">
        <f t="shared" si="1"/>
        <v>5.7475429374155294</v>
      </c>
      <c r="S16" s="13">
        <f>AVERAGEIFS(Data!F:F,Data!B:B,$B$3,Data!A:A,'Date Prep'!$B$15,Data!C:C,'Date Prep'!O16)</f>
        <v>73749</v>
      </c>
      <c r="T16" s="15">
        <f t="shared" si="2"/>
        <v>-73749</v>
      </c>
    </row>
    <row r="17" spans="1:20" x14ac:dyDescent="0.3">
      <c r="H17" s="4" t="str">
        <f>B3</f>
        <v>Information</v>
      </c>
      <c r="I17" s="13">
        <f>_xlfn.XLOOKUP(B3,H3:H12,I3:I12)</f>
        <v>2677815</v>
      </c>
      <c r="O17" s="4" t="str">
        <v>Kentucky</v>
      </c>
      <c r="P17" s="13">
        <f>SUMIFS(Data!E:E,Data!B:B,$B$3,Data!A:A,'Date Prep'!$B$15,Data!C:C,'Date Prep'!O17)</f>
        <v>20268</v>
      </c>
      <c r="Q17" s="13">
        <v>4468402</v>
      </c>
      <c r="R17" s="14">
        <f t="shared" si="1"/>
        <v>4.5358497288292332</v>
      </c>
      <c r="S17" s="13">
        <f>AVERAGEIFS(Data!F:F,Data!B:B,$B$3,Data!A:A,'Date Prep'!$B$15,Data!C:C,'Date Prep'!O17)</f>
        <v>63462</v>
      </c>
      <c r="T17" s="15">
        <f t="shared" si="2"/>
        <v>-63462</v>
      </c>
    </row>
    <row r="18" spans="1:20" ht="15.6" x14ac:dyDescent="0.3">
      <c r="A18" s="6" t="s">
        <v>78</v>
      </c>
      <c r="B18" s="6"/>
      <c r="H18" s="4" t="s">
        <v>71</v>
      </c>
      <c r="I18" s="13">
        <f>SUM(I3:I12)-I17</f>
        <v>113971524</v>
      </c>
      <c r="O18" s="4" t="str">
        <v>Louisiana</v>
      </c>
      <c r="P18" s="13">
        <f>SUMIFS(Data!E:E,Data!B:B,$B$3,Data!A:A,'Date Prep'!$B$15,Data!C:C,'Date Prep'!O18)</f>
        <v>18712</v>
      </c>
      <c r="Q18" s="13">
        <v>4659978</v>
      </c>
      <c r="R18" s="14">
        <f t="shared" si="1"/>
        <v>4.015469600929447</v>
      </c>
      <c r="S18" s="13">
        <f>AVERAGEIFS(Data!F:F,Data!B:B,$B$3,Data!A:A,'Date Prep'!$B$15,Data!C:C,'Date Prep'!O18)</f>
        <v>65700</v>
      </c>
      <c r="T18" s="15">
        <f t="shared" si="2"/>
        <v>-65700</v>
      </c>
    </row>
    <row r="19" spans="1:20" x14ac:dyDescent="0.3">
      <c r="A19" s="5" t="s">
        <v>77</v>
      </c>
      <c r="B19" s="4" t="str">
        <f>IF(Dashboard!A2=1,'Date Prep'!S2,'Date Prep'!R2)</f>
        <v>Avg Wage</v>
      </c>
      <c r="O19" s="4" t="str">
        <v>Maine</v>
      </c>
      <c r="P19" s="13">
        <f>SUMIFS(Data!E:E,Data!B:B,$B$3,Data!A:A,'Date Prep'!$B$15,Data!C:C,'Date Prep'!O19)</f>
        <v>6415</v>
      </c>
      <c r="Q19" s="13">
        <v>1338404</v>
      </c>
      <c r="R19" s="14">
        <f t="shared" si="1"/>
        <v>4.7930221368136978</v>
      </c>
      <c r="S19" s="13">
        <f>AVERAGEIFS(Data!F:F,Data!B:B,$B$3,Data!A:A,'Date Prep'!$B$15,Data!C:C,'Date Prep'!O19)</f>
        <v>64265</v>
      </c>
      <c r="T19" s="15">
        <f t="shared" si="2"/>
        <v>-64265</v>
      </c>
    </row>
    <row r="20" spans="1:20" x14ac:dyDescent="0.3">
      <c r="H20" s="4" t="s">
        <v>80</v>
      </c>
      <c r="I20" s="18">
        <f>I17/SUM(I17:I18)</f>
        <v>2.2956109506972858E-2</v>
      </c>
      <c r="O20" s="4" t="str">
        <v>Maryland</v>
      </c>
      <c r="P20" s="13">
        <f>SUMIFS(Data!E:E,Data!B:B,$B$3,Data!A:A,'Date Prep'!$B$15,Data!C:C,'Date Prep'!O20)</f>
        <v>33029</v>
      </c>
      <c r="Q20" s="13">
        <v>6042718</v>
      </c>
      <c r="R20" s="14">
        <f t="shared" si="1"/>
        <v>5.4659178204245169</v>
      </c>
      <c r="S20" s="13">
        <f>AVERAGEIFS(Data!F:F,Data!B:B,$B$3,Data!A:A,'Date Prep'!$B$15,Data!C:C,'Date Prep'!O20)</f>
        <v>110569</v>
      </c>
      <c r="T20" s="15">
        <f t="shared" si="2"/>
        <v>-110569</v>
      </c>
    </row>
    <row r="21" spans="1:20" x14ac:dyDescent="0.3">
      <c r="O21" s="4" t="str">
        <v>Massachusetts</v>
      </c>
      <c r="P21" s="13">
        <f>SUMIFS(Data!E:E,Data!B:B,$B$3,Data!A:A,'Date Prep'!$B$15,Data!C:C,'Date Prep'!O21)</f>
        <v>89231</v>
      </c>
      <c r="Q21" s="13">
        <v>6902149</v>
      </c>
      <c r="R21" s="14">
        <f t="shared" si="1"/>
        <v>12.928002568475412</v>
      </c>
      <c r="S21" s="13">
        <f>AVERAGEIFS(Data!F:F,Data!B:B,$B$3,Data!A:A,'Date Prep'!$B$15,Data!C:C,'Date Prep'!O21)</f>
        <v>146746</v>
      </c>
      <c r="T21" s="15">
        <f t="shared" si="2"/>
        <v>-146746</v>
      </c>
    </row>
    <row r="22" spans="1:20" x14ac:dyDescent="0.3">
      <c r="O22" s="4" t="str">
        <v>Michigan</v>
      </c>
      <c r="P22" s="13">
        <f>SUMIFS(Data!E:E,Data!B:B,$B$3,Data!A:A,'Date Prep'!$B$15,Data!C:C,'Date Prep'!O22)</f>
        <v>50511</v>
      </c>
      <c r="Q22" s="13">
        <v>9995915</v>
      </c>
      <c r="R22" s="14">
        <f t="shared" si="1"/>
        <v>5.053164217582883</v>
      </c>
      <c r="S22" s="13">
        <f>AVERAGEIFS(Data!F:F,Data!B:B,$B$3,Data!A:A,'Date Prep'!$B$15,Data!C:C,'Date Prep'!O22)</f>
        <v>88745</v>
      </c>
      <c r="T22" s="15">
        <f t="shared" si="2"/>
        <v>-88745</v>
      </c>
    </row>
    <row r="23" spans="1:20" x14ac:dyDescent="0.3">
      <c r="O23" s="4" t="str">
        <v>Minnesota</v>
      </c>
      <c r="P23" s="13">
        <f>SUMIFS(Data!E:E,Data!B:B,$B$3,Data!A:A,'Date Prep'!$B$15,Data!C:C,'Date Prep'!O23)</f>
        <v>43145</v>
      </c>
      <c r="Q23" s="13">
        <v>5611179</v>
      </c>
      <c r="R23" s="14">
        <f t="shared" si="1"/>
        <v>7.6891148901148938</v>
      </c>
      <c r="S23" s="13">
        <f>AVERAGEIFS(Data!F:F,Data!B:B,$B$3,Data!A:A,'Date Prep'!$B$15,Data!C:C,'Date Prep'!O23)</f>
        <v>92292</v>
      </c>
      <c r="T23" s="15">
        <f t="shared" si="2"/>
        <v>-92292</v>
      </c>
    </row>
    <row r="24" spans="1:20" x14ac:dyDescent="0.3">
      <c r="O24" s="4" t="str">
        <v>Mississippi</v>
      </c>
      <c r="P24" s="13">
        <f>SUMIFS(Data!E:E,Data!B:B,$B$3,Data!A:A,'Date Prep'!$B$15,Data!C:C,'Date Prep'!O24)</f>
        <v>9629</v>
      </c>
      <c r="Q24" s="13">
        <v>2963914</v>
      </c>
      <c r="R24" s="14">
        <f t="shared" si="1"/>
        <v>3.2487447341589535</v>
      </c>
      <c r="S24" s="13">
        <f>AVERAGEIFS(Data!F:F,Data!B:B,$B$3,Data!A:A,'Date Prep'!$B$15,Data!C:C,'Date Prep'!O24)</f>
        <v>54301</v>
      </c>
      <c r="T24" s="15">
        <f t="shared" si="2"/>
        <v>-54301</v>
      </c>
    </row>
    <row r="25" spans="1:20" x14ac:dyDescent="0.3">
      <c r="O25" s="4" t="str">
        <v>Missouri</v>
      </c>
      <c r="P25" s="13">
        <f>SUMIFS(Data!E:E,Data!B:B,$B$3,Data!A:A,'Date Prep'!$B$15,Data!C:C,'Date Prep'!O25)</f>
        <v>43675</v>
      </c>
      <c r="Q25" s="13">
        <v>6126452</v>
      </c>
      <c r="R25" s="14">
        <f t="shared" si="1"/>
        <v>7.1289222538591668</v>
      </c>
      <c r="S25" s="13">
        <f>AVERAGEIFS(Data!F:F,Data!B:B,$B$3,Data!A:A,'Date Prep'!$B$15,Data!C:C,'Date Prep'!O25)</f>
        <v>89327</v>
      </c>
      <c r="T25" s="15">
        <f t="shared" si="2"/>
        <v>-89327</v>
      </c>
    </row>
    <row r="26" spans="1:20" x14ac:dyDescent="0.3">
      <c r="O26" s="4" t="str">
        <v>Montana</v>
      </c>
      <c r="P26" s="13">
        <f>SUMIFS(Data!E:E,Data!B:B,$B$3,Data!A:A,'Date Prep'!$B$15,Data!C:C,'Date Prep'!O26)</f>
        <v>5797</v>
      </c>
      <c r="Q26" s="13">
        <v>1062305</v>
      </c>
      <c r="R26" s="14">
        <f t="shared" si="1"/>
        <v>5.4570015202790154</v>
      </c>
      <c r="S26" s="13">
        <f>AVERAGEIFS(Data!F:F,Data!B:B,$B$3,Data!A:A,'Date Prep'!$B$15,Data!C:C,'Date Prep'!O26)</f>
        <v>65673</v>
      </c>
      <c r="T26" s="15">
        <f t="shared" si="2"/>
        <v>-65673</v>
      </c>
    </row>
    <row r="27" spans="1:20" x14ac:dyDescent="0.3">
      <c r="O27" s="4" t="str">
        <v>Nebraska</v>
      </c>
      <c r="P27" s="13">
        <f>SUMIFS(Data!E:E,Data!B:B,$B$3,Data!A:A,'Date Prep'!$B$15,Data!C:C,'Date Prep'!O27)</f>
        <v>16165</v>
      </c>
      <c r="Q27" s="13">
        <v>1929268</v>
      </c>
      <c r="R27" s="14">
        <f t="shared" si="1"/>
        <v>8.3788255441960366</v>
      </c>
      <c r="S27" s="13">
        <f>AVERAGEIFS(Data!F:F,Data!B:B,$B$3,Data!A:A,'Date Prep'!$B$15,Data!C:C,'Date Prep'!O27)</f>
        <v>76361</v>
      </c>
      <c r="T27" s="15">
        <f t="shared" si="2"/>
        <v>-76361</v>
      </c>
    </row>
    <row r="28" spans="1:20" x14ac:dyDescent="0.3">
      <c r="O28" s="4" t="str">
        <v>Nevada</v>
      </c>
      <c r="P28" s="13">
        <f>SUMIFS(Data!E:E,Data!B:B,$B$3,Data!A:A,'Date Prep'!$B$15,Data!C:C,'Date Prep'!O28)</f>
        <v>13306</v>
      </c>
      <c r="Q28" s="13">
        <v>3034392</v>
      </c>
      <c r="R28" s="14">
        <f t="shared" si="1"/>
        <v>4.3850629714288729</v>
      </c>
      <c r="S28" s="13">
        <f>AVERAGEIFS(Data!F:F,Data!B:B,$B$3,Data!A:A,'Date Prep'!$B$15,Data!C:C,'Date Prep'!O28)</f>
        <v>88353</v>
      </c>
      <c r="T28" s="15">
        <f t="shared" si="2"/>
        <v>-88353</v>
      </c>
    </row>
    <row r="29" spans="1:20" x14ac:dyDescent="0.3">
      <c r="O29" s="4" t="str">
        <v>New Hampshire</v>
      </c>
      <c r="P29" s="13">
        <f>SUMIFS(Data!E:E,Data!B:B,$B$3,Data!A:A,'Date Prep'!$B$15,Data!C:C,'Date Prep'!O29)</f>
        <v>11735</v>
      </c>
      <c r="Q29" s="13">
        <v>1356458</v>
      </c>
      <c r="R29" s="14">
        <f t="shared" si="1"/>
        <v>8.651207777903922</v>
      </c>
      <c r="S29" s="13">
        <f>AVERAGEIFS(Data!F:F,Data!B:B,$B$3,Data!A:A,'Date Prep'!$B$15,Data!C:C,'Date Prep'!O29)</f>
        <v>107194</v>
      </c>
      <c r="T29" s="15">
        <f t="shared" si="2"/>
        <v>-107194</v>
      </c>
    </row>
    <row r="30" spans="1:20" x14ac:dyDescent="0.3">
      <c r="O30" s="4" t="str">
        <v>New Jersey</v>
      </c>
      <c r="P30" s="13">
        <f>SUMIFS(Data!E:E,Data!B:B,$B$3,Data!A:A,'Date Prep'!$B$15,Data!C:C,'Date Prep'!O30)</f>
        <v>67885</v>
      </c>
      <c r="Q30" s="13">
        <v>8908520</v>
      </c>
      <c r="R30" s="14">
        <f t="shared" si="1"/>
        <v>7.6202332149447942</v>
      </c>
      <c r="S30" s="13">
        <f>AVERAGEIFS(Data!F:F,Data!B:B,$B$3,Data!A:A,'Date Prep'!$B$15,Data!C:C,'Date Prep'!O30)</f>
        <v>130541</v>
      </c>
      <c r="T30" s="15">
        <f t="shared" si="2"/>
        <v>-130541</v>
      </c>
    </row>
    <row r="31" spans="1:20" x14ac:dyDescent="0.3">
      <c r="O31" s="4" t="str">
        <v>New Mexico</v>
      </c>
      <c r="P31" s="13">
        <f>SUMIFS(Data!E:E,Data!B:B,$B$3,Data!A:A,'Date Prep'!$B$15,Data!C:C,'Date Prep'!O31)</f>
        <v>9076</v>
      </c>
      <c r="Q31" s="13">
        <v>2095428</v>
      </c>
      <c r="R31" s="14">
        <f t="shared" si="1"/>
        <v>4.3313346963007078</v>
      </c>
      <c r="S31" s="13">
        <f>AVERAGEIFS(Data!F:F,Data!B:B,$B$3,Data!A:A,'Date Prep'!$B$15,Data!C:C,'Date Prep'!O31)</f>
        <v>62393</v>
      </c>
      <c r="T31" s="15">
        <f t="shared" si="2"/>
        <v>-62393</v>
      </c>
    </row>
    <row r="32" spans="1:20" x14ac:dyDescent="0.3">
      <c r="O32" s="4" t="str">
        <v>New York</v>
      </c>
      <c r="P32" s="13">
        <f>SUMIFS(Data!E:E,Data!B:B,$B$3,Data!A:A,'Date Prep'!$B$15,Data!C:C,'Date Prep'!O32)</f>
        <v>267749</v>
      </c>
      <c r="Q32" s="13">
        <v>19542209</v>
      </c>
      <c r="R32" s="14">
        <f t="shared" si="1"/>
        <v>13.701061123642674</v>
      </c>
      <c r="S32" s="13">
        <f>AVERAGEIFS(Data!F:F,Data!B:B,$B$3,Data!A:A,'Date Prep'!$B$15,Data!C:C,'Date Prep'!O32)</f>
        <v>154357</v>
      </c>
      <c r="T32" s="15">
        <f t="shared" si="2"/>
        <v>-154357</v>
      </c>
    </row>
    <row r="33" spans="15:20" x14ac:dyDescent="0.3">
      <c r="O33" s="4" t="str">
        <v>North Carolina</v>
      </c>
      <c r="P33" s="13">
        <f>SUMIFS(Data!E:E,Data!B:B,$B$3,Data!A:A,'Date Prep'!$B$15,Data!C:C,'Date Prep'!O33)</f>
        <v>73440</v>
      </c>
      <c r="Q33" s="13">
        <v>10383620</v>
      </c>
      <c r="R33" s="14">
        <f t="shared" si="1"/>
        <v>7.0726779292770727</v>
      </c>
      <c r="S33" s="13">
        <f>AVERAGEIFS(Data!F:F,Data!B:B,$B$3,Data!A:A,'Date Prep'!$B$15,Data!C:C,'Date Prep'!O33)</f>
        <v>96207</v>
      </c>
      <c r="T33" s="15">
        <f t="shared" si="2"/>
        <v>-96207</v>
      </c>
    </row>
    <row r="34" spans="15:20" x14ac:dyDescent="0.3">
      <c r="O34" s="4" t="str">
        <v>North Dakota</v>
      </c>
      <c r="P34" s="13">
        <f>SUMIFS(Data!E:E,Data!B:B,$B$3,Data!A:A,'Date Prep'!$B$15,Data!C:C,'Date Prep'!O34)</f>
        <v>5780</v>
      </c>
      <c r="Q34" s="13">
        <v>760077</v>
      </c>
      <c r="R34" s="14">
        <f t="shared" si="1"/>
        <v>7.6044927027130145</v>
      </c>
      <c r="S34" s="13">
        <f>AVERAGEIFS(Data!F:F,Data!B:B,$B$3,Data!A:A,'Date Prep'!$B$15,Data!C:C,'Date Prep'!O34)</f>
        <v>79624</v>
      </c>
      <c r="T34" s="15">
        <f t="shared" si="2"/>
        <v>-79624</v>
      </c>
    </row>
    <row r="35" spans="15:20" x14ac:dyDescent="0.3">
      <c r="O35" s="4" t="str">
        <v>Ohio</v>
      </c>
      <c r="P35" s="13">
        <f>SUMIFS(Data!E:E,Data!B:B,$B$3,Data!A:A,'Date Prep'!$B$15,Data!C:C,'Date Prep'!O35)</f>
        <v>63865</v>
      </c>
      <c r="Q35" s="13">
        <v>11689442</v>
      </c>
      <c r="R35" s="14">
        <f t="shared" si="1"/>
        <v>5.4634772130269349</v>
      </c>
      <c r="S35" s="13">
        <f>AVERAGEIFS(Data!F:F,Data!B:B,$B$3,Data!A:A,'Date Prep'!$B$15,Data!C:C,'Date Prep'!O35)</f>
        <v>80052</v>
      </c>
      <c r="T35" s="15">
        <f t="shared" si="2"/>
        <v>-80052</v>
      </c>
    </row>
    <row r="36" spans="15:20" x14ac:dyDescent="0.3">
      <c r="O36" s="4" t="str">
        <v>Oklahoma</v>
      </c>
      <c r="P36" s="13">
        <f>SUMIFS(Data!E:E,Data!B:B,$B$3,Data!A:A,'Date Prep'!$B$15,Data!C:C,'Date Prep'!O36)</f>
        <v>18256</v>
      </c>
      <c r="Q36" s="13">
        <v>3943079</v>
      </c>
      <c r="R36" s="14">
        <f t="shared" si="1"/>
        <v>4.6298844126633023</v>
      </c>
      <c r="S36" s="13">
        <f>AVERAGEIFS(Data!F:F,Data!B:B,$B$3,Data!A:A,'Date Prep'!$B$15,Data!C:C,'Date Prep'!O36)</f>
        <v>63710</v>
      </c>
      <c r="T36" s="15">
        <f t="shared" si="2"/>
        <v>-63710</v>
      </c>
    </row>
    <row r="37" spans="15:20" x14ac:dyDescent="0.3">
      <c r="O37" s="4" t="str">
        <v>Oregon</v>
      </c>
      <c r="P37" s="13">
        <f>SUMIFS(Data!E:E,Data!B:B,$B$3,Data!A:A,'Date Prep'!$B$15,Data!C:C,'Date Prep'!O37)</f>
        <v>33218</v>
      </c>
      <c r="Q37" s="13">
        <v>4190713</v>
      </c>
      <c r="R37" s="14">
        <f t="shared" si="1"/>
        <v>7.9265747857226208</v>
      </c>
      <c r="S37" s="13">
        <f>AVERAGEIFS(Data!F:F,Data!B:B,$B$3,Data!A:A,'Date Prep'!$B$15,Data!C:C,'Date Prep'!O37)</f>
        <v>101737</v>
      </c>
      <c r="T37" s="15">
        <f t="shared" si="2"/>
        <v>-101737</v>
      </c>
    </row>
    <row r="38" spans="15:20" x14ac:dyDescent="0.3">
      <c r="O38" s="4" t="str">
        <v>Pennsylvania</v>
      </c>
      <c r="P38" s="13">
        <f>SUMIFS(Data!E:E,Data!B:B,$B$3,Data!A:A,'Date Prep'!$B$15,Data!C:C,'Date Prep'!O38)</f>
        <v>82872</v>
      </c>
      <c r="Q38" s="13">
        <v>12807060</v>
      </c>
      <c r="R38" s="14">
        <f t="shared" si="1"/>
        <v>6.4708059460953571</v>
      </c>
      <c r="S38" s="13">
        <f>AVERAGEIFS(Data!F:F,Data!B:B,$B$3,Data!A:A,'Date Prep'!$B$15,Data!C:C,'Date Prep'!O38)</f>
        <v>107388</v>
      </c>
      <c r="T38" s="15">
        <f t="shared" si="2"/>
        <v>-107388</v>
      </c>
    </row>
    <row r="39" spans="15:20" x14ac:dyDescent="0.3">
      <c r="O39" s="4" t="str">
        <v>Rhode Island</v>
      </c>
      <c r="P39" s="13">
        <f>SUMIFS(Data!E:E,Data!B:B,$B$3,Data!A:A,'Date Prep'!$B$15,Data!C:C,'Date Prep'!O39)</f>
        <v>5243</v>
      </c>
      <c r="Q39" s="13">
        <v>1057315</v>
      </c>
      <c r="R39" s="14">
        <f t="shared" si="1"/>
        <v>4.9587871164222586</v>
      </c>
      <c r="S39" s="13">
        <f>AVERAGEIFS(Data!F:F,Data!B:B,$B$3,Data!A:A,'Date Prep'!$B$15,Data!C:C,'Date Prep'!O39)</f>
        <v>87286</v>
      </c>
      <c r="T39" s="15">
        <f t="shared" si="2"/>
        <v>-87286</v>
      </c>
    </row>
    <row r="40" spans="15:20" x14ac:dyDescent="0.3">
      <c r="O40" s="4" t="str">
        <v>South Carolina</v>
      </c>
      <c r="P40" s="13">
        <f>SUMIFS(Data!E:E,Data!B:B,$B$3,Data!A:A,'Date Prep'!$B$15,Data!C:C,'Date Prep'!O40)</f>
        <v>24744</v>
      </c>
      <c r="Q40" s="13">
        <v>5084127</v>
      </c>
      <c r="R40" s="14">
        <f t="shared" si="1"/>
        <v>4.8669122545522558</v>
      </c>
      <c r="S40" s="13">
        <f>AVERAGEIFS(Data!F:F,Data!B:B,$B$3,Data!A:A,'Date Prep'!$B$15,Data!C:C,'Date Prep'!O40)</f>
        <v>73562</v>
      </c>
      <c r="T40" s="15">
        <f t="shared" si="2"/>
        <v>-73562</v>
      </c>
    </row>
    <row r="41" spans="15:20" x14ac:dyDescent="0.3">
      <c r="O41" s="4" t="str">
        <v>South Dakota</v>
      </c>
      <c r="P41" s="13">
        <f>SUMIFS(Data!E:E,Data!B:B,$B$3,Data!A:A,'Date Prep'!$B$15,Data!C:C,'Date Prep'!O41)</f>
        <v>5074</v>
      </c>
      <c r="Q41" s="13">
        <v>882235</v>
      </c>
      <c r="R41" s="14">
        <f t="shared" si="1"/>
        <v>5.7513020907127919</v>
      </c>
      <c r="S41" s="13">
        <f>AVERAGEIFS(Data!F:F,Data!B:B,$B$3,Data!A:A,'Date Prep'!$B$15,Data!C:C,'Date Prep'!O41)</f>
        <v>58069</v>
      </c>
      <c r="T41" s="15">
        <f t="shared" si="2"/>
        <v>-58069</v>
      </c>
    </row>
    <row r="42" spans="15:20" x14ac:dyDescent="0.3">
      <c r="O42" s="4" t="str">
        <v>Tennessee</v>
      </c>
      <c r="P42" s="13">
        <f>SUMIFS(Data!E:E,Data!B:B,$B$3,Data!A:A,'Date Prep'!$B$15,Data!C:C,'Date Prep'!O42)</f>
        <v>42929</v>
      </c>
      <c r="Q42" s="13">
        <v>6770010</v>
      </c>
      <c r="R42" s="14">
        <f t="shared" si="1"/>
        <v>6.3410541491076087</v>
      </c>
      <c r="S42" s="13">
        <f>AVERAGEIFS(Data!F:F,Data!B:B,$B$3,Data!A:A,'Date Prep'!$B$15,Data!C:C,'Date Prep'!O42)</f>
        <v>81293</v>
      </c>
      <c r="T42" s="15">
        <f t="shared" si="2"/>
        <v>-81293</v>
      </c>
    </row>
    <row r="43" spans="15:20" x14ac:dyDescent="0.3">
      <c r="O43" s="4" t="str">
        <v>Texas</v>
      </c>
      <c r="P43" s="13">
        <f>SUMIFS(Data!E:E,Data!B:B,$B$3,Data!A:A,'Date Prep'!$B$15,Data!C:C,'Date Prep'!O43)</f>
        <v>198521</v>
      </c>
      <c r="Q43" s="13">
        <v>28701845</v>
      </c>
      <c r="R43" s="14">
        <f t="shared" si="1"/>
        <v>6.9166633712919854</v>
      </c>
      <c r="S43" s="13">
        <f>AVERAGEIFS(Data!F:F,Data!B:B,$B$3,Data!A:A,'Date Prep'!$B$15,Data!C:C,'Date Prep'!O43)</f>
        <v>102835</v>
      </c>
      <c r="T43" s="15">
        <f t="shared" si="2"/>
        <v>-102835</v>
      </c>
    </row>
    <row r="44" spans="15:20" x14ac:dyDescent="0.3">
      <c r="O44" s="4" t="str">
        <v>Utah</v>
      </c>
      <c r="P44" s="13">
        <f>SUMIFS(Data!E:E,Data!B:B,$B$3,Data!A:A,'Date Prep'!$B$15,Data!C:C,'Date Prep'!O44)</f>
        <v>37222</v>
      </c>
      <c r="Q44" s="13">
        <v>3161105</v>
      </c>
      <c r="R44" s="14">
        <f t="shared" si="1"/>
        <v>11.774996401574766</v>
      </c>
      <c r="S44" s="13">
        <f>AVERAGEIFS(Data!F:F,Data!B:B,$B$3,Data!A:A,'Date Prep'!$B$15,Data!C:C,'Date Prep'!O44)</f>
        <v>96974</v>
      </c>
      <c r="T44" s="15">
        <f t="shared" si="2"/>
        <v>-96974</v>
      </c>
    </row>
    <row r="45" spans="15:20" x14ac:dyDescent="0.3">
      <c r="O45" s="4" t="str">
        <v>Vermont</v>
      </c>
      <c r="P45" s="13">
        <f>SUMIFS(Data!E:E,Data!B:B,$B$3,Data!A:A,'Date Prep'!$B$15,Data!C:C,'Date Prep'!O45)</f>
        <v>3961</v>
      </c>
      <c r="Q45" s="13">
        <v>626299</v>
      </c>
      <c r="R45" s="14">
        <f t="shared" si="1"/>
        <v>6.32445525220382</v>
      </c>
      <c r="S45" s="13">
        <f>AVERAGEIFS(Data!F:F,Data!B:B,$B$3,Data!A:A,'Date Prep'!$B$15,Data!C:C,'Date Prep'!O45)</f>
        <v>68605</v>
      </c>
      <c r="T45" s="15">
        <f t="shared" si="2"/>
        <v>-68605</v>
      </c>
    </row>
    <row r="46" spans="15:20" x14ac:dyDescent="0.3">
      <c r="O46" s="4" t="str">
        <v>Virginia</v>
      </c>
      <c r="P46" s="13">
        <f>SUMIFS(Data!E:E,Data!B:B,$B$3,Data!A:A,'Date Prep'!$B$15,Data!C:C,'Date Prep'!O46)</f>
        <v>64840</v>
      </c>
      <c r="Q46" s="13">
        <v>8517685</v>
      </c>
      <c r="R46" s="14">
        <f t="shared" si="1"/>
        <v>7.6123970304137796</v>
      </c>
      <c r="S46" s="13">
        <f>AVERAGEIFS(Data!F:F,Data!B:B,$B$3,Data!A:A,'Date Prep'!$B$15,Data!C:C,'Date Prep'!O46)</f>
        <v>117848</v>
      </c>
      <c r="T46" s="15">
        <f t="shared" si="2"/>
        <v>-117848</v>
      </c>
    </row>
    <row r="47" spans="15:20" x14ac:dyDescent="0.3">
      <c r="O47" s="4" t="str">
        <v>Washington</v>
      </c>
      <c r="P47" s="13">
        <f>SUMIFS(Data!E:E,Data!B:B,$B$3,Data!A:A,'Date Prep'!$B$15,Data!C:C,'Date Prep'!O47)</f>
        <v>148556</v>
      </c>
      <c r="Q47" s="13">
        <v>7614893</v>
      </c>
      <c r="R47" s="14">
        <f t="shared" si="1"/>
        <v>19.508612924699005</v>
      </c>
      <c r="S47" s="13">
        <f>AVERAGEIFS(Data!F:F,Data!B:B,$B$3,Data!A:A,'Date Prep'!$B$15,Data!C:C,'Date Prep'!O47)</f>
        <v>242273</v>
      </c>
      <c r="T47" s="15">
        <f t="shared" si="2"/>
        <v>-242273</v>
      </c>
    </row>
    <row r="48" spans="15:20" x14ac:dyDescent="0.3">
      <c r="O48" s="4" t="str">
        <v>West Virginia</v>
      </c>
      <c r="P48" s="13">
        <f>SUMIFS(Data!E:E,Data!B:B,$B$3,Data!A:A,'Date Prep'!$B$15,Data!C:C,'Date Prep'!O48)</f>
        <v>7215</v>
      </c>
      <c r="Q48" s="13">
        <v>1805832</v>
      </c>
      <c r="R48" s="14">
        <f t="shared" si="1"/>
        <v>3.9953882753212926</v>
      </c>
      <c r="S48" s="13">
        <f>AVERAGEIFS(Data!F:F,Data!B:B,$B$3,Data!A:A,'Date Prep'!$B$15,Data!C:C,'Date Prep'!O48)</f>
        <v>58063</v>
      </c>
      <c r="T48" s="15">
        <f t="shared" si="2"/>
        <v>-58063</v>
      </c>
    </row>
    <row r="49" spans="15:20" x14ac:dyDescent="0.3">
      <c r="O49" s="4" t="str">
        <v>Wisconsin</v>
      </c>
      <c r="P49" s="13">
        <f>SUMIFS(Data!E:E,Data!B:B,$B$3,Data!A:A,'Date Prep'!$B$15,Data!C:C,'Date Prep'!O49)</f>
        <v>44846</v>
      </c>
      <c r="Q49" s="13">
        <v>5813568</v>
      </c>
      <c r="R49" s="14">
        <f t="shared" si="1"/>
        <v>7.7140234706121955</v>
      </c>
      <c r="S49" s="13">
        <f>AVERAGEIFS(Data!F:F,Data!B:B,$B$3,Data!A:A,'Date Prep'!$B$15,Data!C:C,'Date Prep'!O49)</f>
        <v>88336</v>
      </c>
      <c r="T49" s="15">
        <f t="shared" si="2"/>
        <v>-88336</v>
      </c>
    </row>
    <row r="50" spans="15:20" x14ac:dyDescent="0.3">
      <c r="O50" s="4" t="str">
        <v>Wyoming</v>
      </c>
      <c r="P50" s="13">
        <f>SUMIFS(Data!E:E,Data!B:B,$B$3,Data!A:A,'Date Prep'!$B$15,Data!C:C,'Date Prep'!O50)</f>
        <v>3000</v>
      </c>
      <c r="Q50" s="13">
        <v>577737</v>
      </c>
      <c r="R50" s="14">
        <f t="shared" si="1"/>
        <v>5.1926741752735248</v>
      </c>
      <c r="S50" s="13">
        <f>AVERAGEIFS(Data!F:F,Data!B:B,$B$3,Data!A:A,'Date Prep'!$B$15,Data!C:C,'Date Prep'!O50)</f>
        <v>54299</v>
      </c>
      <c r="T50" s="15">
        <f t="shared" si="2"/>
        <v>-54299</v>
      </c>
    </row>
    <row r="51" spans="15:20" x14ac:dyDescent="0.3">
      <c r="P51"/>
    </row>
    <row r="52" spans="15:20" x14ac:dyDescent="0.3">
      <c r="P52"/>
    </row>
    <row r="53" spans="15:20" x14ac:dyDescent="0.3">
      <c r="P53"/>
    </row>
    <row r="54" spans="15:20" x14ac:dyDescent="0.3">
      <c r="P54"/>
    </row>
    <row r="55" spans="15:20" x14ac:dyDescent="0.3">
      <c r="P55"/>
    </row>
    <row r="56" spans="15:20" x14ac:dyDescent="0.3">
      <c r="P56"/>
    </row>
    <row r="57" spans="15:20" x14ac:dyDescent="0.3">
      <c r="P57"/>
    </row>
    <row r="58" spans="15:20" x14ac:dyDescent="0.3">
      <c r="P58"/>
    </row>
    <row r="59" spans="15:20" x14ac:dyDescent="0.3">
      <c r="P59"/>
    </row>
    <row r="60" spans="15:20" x14ac:dyDescent="0.3">
      <c r="P60"/>
    </row>
    <row r="61" spans="15:20" x14ac:dyDescent="0.3">
      <c r="P61"/>
    </row>
    <row r="62" spans="15:20" x14ac:dyDescent="0.3">
      <c r="P62"/>
    </row>
    <row r="63" spans="15:20" x14ac:dyDescent="0.3">
      <c r="P63"/>
    </row>
    <row r="64" spans="15:20" x14ac:dyDescent="0.3">
      <c r="P64"/>
    </row>
    <row r="65" spans="16:16" x14ac:dyDescent="0.3">
      <c r="P65"/>
    </row>
    <row r="66" spans="16:16" x14ac:dyDescent="0.3">
      <c r="P66"/>
    </row>
    <row r="67" spans="16:16" x14ac:dyDescent="0.3">
      <c r="P67"/>
    </row>
    <row r="68" spans="16:16" x14ac:dyDescent="0.3">
      <c r="P68"/>
    </row>
    <row r="69" spans="16:16" x14ac:dyDescent="0.3">
      <c r="P69"/>
    </row>
    <row r="70" spans="16:16" x14ac:dyDescent="0.3">
      <c r="P70"/>
    </row>
    <row r="71" spans="16:16" x14ac:dyDescent="0.3">
      <c r="P71"/>
    </row>
    <row r="72" spans="16:16" x14ac:dyDescent="0.3">
      <c r="P72"/>
    </row>
    <row r="73" spans="16:16" x14ac:dyDescent="0.3">
      <c r="P73"/>
    </row>
    <row r="74" spans="16:16" x14ac:dyDescent="0.3">
      <c r="P74"/>
    </row>
    <row r="75" spans="16:16" x14ac:dyDescent="0.3">
      <c r="P75"/>
    </row>
    <row r="76" spans="16:16" x14ac:dyDescent="0.3">
      <c r="P76"/>
    </row>
    <row r="77" spans="16:16" x14ac:dyDescent="0.3">
      <c r="P77"/>
    </row>
    <row r="78" spans="16:16" x14ac:dyDescent="0.3">
      <c r="P78"/>
    </row>
    <row r="79" spans="16:16" x14ac:dyDescent="0.3">
      <c r="P79"/>
    </row>
    <row r="80" spans="16:16" x14ac:dyDescent="0.3">
      <c r="P80"/>
    </row>
    <row r="81" spans="16:16" x14ac:dyDescent="0.3">
      <c r="P81"/>
    </row>
    <row r="82" spans="16:16" x14ac:dyDescent="0.3">
      <c r="P82"/>
    </row>
    <row r="83" spans="16:16" x14ac:dyDescent="0.3">
      <c r="P83"/>
    </row>
    <row r="84" spans="16:16" x14ac:dyDescent="0.3">
      <c r="P84"/>
    </row>
    <row r="85" spans="16:16" x14ac:dyDescent="0.3">
      <c r="P85"/>
    </row>
    <row r="86" spans="16:16" x14ac:dyDescent="0.3">
      <c r="P86"/>
    </row>
    <row r="87" spans="16:16" x14ac:dyDescent="0.3">
      <c r="P87"/>
    </row>
    <row r="88" spans="16:16" x14ac:dyDescent="0.3">
      <c r="P88"/>
    </row>
    <row r="89" spans="16:16" x14ac:dyDescent="0.3">
      <c r="P89"/>
    </row>
    <row r="90" spans="16:16" x14ac:dyDescent="0.3">
      <c r="P90"/>
    </row>
    <row r="91" spans="16:16" x14ac:dyDescent="0.3">
      <c r="P91"/>
    </row>
    <row r="92" spans="16:16" x14ac:dyDescent="0.3">
      <c r="P92"/>
    </row>
    <row r="93" spans="16:16" x14ac:dyDescent="0.3">
      <c r="P93"/>
    </row>
    <row r="94" spans="16:16" x14ac:dyDescent="0.3">
      <c r="P94"/>
    </row>
    <row r="95" spans="16:16" x14ac:dyDescent="0.3">
      <c r="P95"/>
    </row>
    <row r="96" spans="16:16" x14ac:dyDescent="0.3">
      <c r="P96"/>
    </row>
    <row r="97" spans="16:16" x14ac:dyDescent="0.3">
      <c r="P97"/>
    </row>
    <row r="98" spans="16:16" x14ac:dyDescent="0.3">
      <c r="P98"/>
    </row>
    <row r="99" spans="16:16" x14ac:dyDescent="0.3">
      <c r="P99"/>
    </row>
    <row r="100" spans="16:16" x14ac:dyDescent="0.3">
      <c r="P100"/>
    </row>
    <row r="101" spans="16:16" x14ac:dyDescent="0.3">
      <c r="P101"/>
    </row>
    <row r="102" spans="16:16" x14ac:dyDescent="0.3">
      <c r="P102"/>
    </row>
    <row r="103" spans="16:16" x14ac:dyDescent="0.3">
      <c r="P103"/>
    </row>
    <row r="104" spans="16:16" x14ac:dyDescent="0.3">
      <c r="P104"/>
    </row>
    <row r="105" spans="16:16" x14ac:dyDescent="0.3">
      <c r="P105"/>
    </row>
    <row r="106" spans="16:16" x14ac:dyDescent="0.3">
      <c r="P106"/>
    </row>
    <row r="107" spans="16:16" x14ac:dyDescent="0.3">
      <c r="P107"/>
    </row>
    <row r="108" spans="16:16" x14ac:dyDescent="0.3">
      <c r="P108"/>
    </row>
    <row r="109" spans="16:16" x14ac:dyDescent="0.3">
      <c r="P109"/>
    </row>
    <row r="110" spans="16:16" x14ac:dyDescent="0.3">
      <c r="P110"/>
    </row>
    <row r="111" spans="16:16" x14ac:dyDescent="0.3">
      <c r="P111"/>
    </row>
    <row r="112" spans="16:16" x14ac:dyDescent="0.3">
      <c r="P112"/>
    </row>
    <row r="113" spans="16:16" x14ac:dyDescent="0.3">
      <c r="P113"/>
    </row>
    <row r="114" spans="16:16" x14ac:dyDescent="0.3">
      <c r="P114"/>
    </row>
    <row r="115" spans="16:16" x14ac:dyDescent="0.3">
      <c r="P115"/>
    </row>
    <row r="116" spans="16:16" x14ac:dyDescent="0.3">
      <c r="P116"/>
    </row>
    <row r="117" spans="16:16" x14ac:dyDescent="0.3">
      <c r="P117"/>
    </row>
    <row r="118" spans="16:16" x14ac:dyDescent="0.3">
      <c r="P118"/>
    </row>
    <row r="119" spans="16:16" x14ac:dyDescent="0.3">
      <c r="P119"/>
    </row>
    <row r="120" spans="16:16" x14ac:dyDescent="0.3">
      <c r="P120"/>
    </row>
    <row r="121" spans="16:16" x14ac:dyDescent="0.3">
      <c r="P121"/>
    </row>
    <row r="122" spans="16:16" x14ac:dyDescent="0.3">
      <c r="P122"/>
    </row>
    <row r="123" spans="16:16" x14ac:dyDescent="0.3">
      <c r="P123"/>
    </row>
    <row r="124" spans="16:16" x14ac:dyDescent="0.3">
      <c r="P124"/>
    </row>
    <row r="125" spans="16:16" x14ac:dyDescent="0.3">
      <c r="P125"/>
    </row>
    <row r="126" spans="16:16" x14ac:dyDescent="0.3">
      <c r="P126"/>
    </row>
    <row r="127" spans="16:16" x14ac:dyDescent="0.3">
      <c r="P127"/>
    </row>
    <row r="128" spans="16:16" x14ac:dyDescent="0.3">
      <c r="P128"/>
    </row>
    <row r="129" spans="16:16" x14ac:dyDescent="0.3">
      <c r="P129"/>
    </row>
    <row r="130" spans="16:16" x14ac:dyDescent="0.3">
      <c r="P130"/>
    </row>
    <row r="131" spans="16:16" x14ac:dyDescent="0.3">
      <c r="P131"/>
    </row>
    <row r="132" spans="16:16" x14ac:dyDescent="0.3">
      <c r="P132"/>
    </row>
    <row r="133" spans="16:16" x14ac:dyDescent="0.3">
      <c r="P133"/>
    </row>
    <row r="134" spans="16:16" x14ac:dyDescent="0.3">
      <c r="P134"/>
    </row>
    <row r="135" spans="16:16" x14ac:dyDescent="0.3">
      <c r="P135"/>
    </row>
    <row r="136" spans="16:16" x14ac:dyDescent="0.3">
      <c r="P136"/>
    </row>
    <row r="137" spans="16:16" x14ac:dyDescent="0.3">
      <c r="P137"/>
    </row>
    <row r="138" spans="16:16" x14ac:dyDescent="0.3">
      <c r="P138"/>
    </row>
    <row r="139" spans="16:16" x14ac:dyDescent="0.3">
      <c r="P139"/>
    </row>
    <row r="140" spans="16:16" x14ac:dyDescent="0.3">
      <c r="P140"/>
    </row>
    <row r="141" spans="16:16" x14ac:dyDescent="0.3">
      <c r="P141"/>
    </row>
    <row r="142" spans="16:16" x14ac:dyDescent="0.3">
      <c r="P142"/>
    </row>
    <row r="143" spans="16:16" x14ac:dyDescent="0.3">
      <c r="P143"/>
    </row>
    <row r="144" spans="16:16" x14ac:dyDescent="0.3">
      <c r="P144"/>
    </row>
    <row r="145" spans="16:16" x14ac:dyDescent="0.3">
      <c r="P145"/>
    </row>
    <row r="146" spans="16:16" x14ac:dyDescent="0.3">
      <c r="P146"/>
    </row>
    <row r="147" spans="16:16" x14ac:dyDescent="0.3">
      <c r="P147"/>
    </row>
    <row r="148" spans="16:16" x14ac:dyDescent="0.3">
      <c r="P148"/>
    </row>
    <row r="149" spans="16:16" x14ac:dyDescent="0.3">
      <c r="P149"/>
    </row>
    <row r="150" spans="16:16" x14ac:dyDescent="0.3">
      <c r="P150"/>
    </row>
    <row r="151" spans="16:16" x14ac:dyDescent="0.3">
      <c r="P151"/>
    </row>
    <row r="152" spans="16:16" x14ac:dyDescent="0.3">
      <c r="P152"/>
    </row>
    <row r="153" spans="16:16" x14ac:dyDescent="0.3">
      <c r="P153"/>
    </row>
    <row r="154" spans="16:16" x14ac:dyDescent="0.3">
      <c r="P154"/>
    </row>
    <row r="155" spans="16:16" x14ac:dyDescent="0.3">
      <c r="P155"/>
    </row>
    <row r="156" spans="16:16" x14ac:dyDescent="0.3">
      <c r="P156"/>
    </row>
    <row r="157" spans="16:16" x14ac:dyDescent="0.3">
      <c r="P157"/>
    </row>
    <row r="158" spans="16:16" x14ac:dyDescent="0.3">
      <c r="P158"/>
    </row>
    <row r="159" spans="16:16" x14ac:dyDescent="0.3">
      <c r="P159"/>
    </row>
    <row r="160" spans="16:16" x14ac:dyDescent="0.3">
      <c r="P160"/>
    </row>
    <row r="161" spans="16:16" x14ac:dyDescent="0.3">
      <c r="P161"/>
    </row>
    <row r="162" spans="16:16" x14ac:dyDescent="0.3">
      <c r="P162"/>
    </row>
    <row r="163" spans="16:16" x14ac:dyDescent="0.3">
      <c r="P163"/>
    </row>
    <row r="164" spans="16:16" x14ac:dyDescent="0.3">
      <c r="P164"/>
    </row>
    <row r="165" spans="16:16" x14ac:dyDescent="0.3">
      <c r="P165"/>
    </row>
    <row r="166" spans="16:16" x14ac:dyDescent="0.3">
      <c r="P166"/>
    </row>
    <row r="167" spans="16:16" x14ac:dyDescent="0.3">
      <c r="P167"/>
    </row>
    <row r="168" spans="16:16" x14ac:dyDescent="0.3">
      <c r="P168"/>
    </row>
    <row r="169" spans="16:16" x14ac:dyDescent="0.3">
      <c r="P169"/>
    </row>
    <row r="170" spans="16:16" x14ac:dyDescent="0.3">
      <c r="P170"/>
    </row>
    <row r="171" spans="16:16" x14ac:dyDescent="0.3">
      <c r="P171"/>
    </row>
    <row r="172" spans="16:16" x14ac:dyDescent="0.3">
      <c r="P172"/>
    </row>
    <row r="173" spans="16:16" x14ac:dyDescent="0.3">
      <c r="P173"/>
    </row>
    <row r="174" spans="16:16" x14ac:dyDescent="0.3">
      <c r="P174"/>
    </row>
    <row r="175" spans="16:16" x14ac:dyDescent="0.3">
      <c r="P175"/>
    </row>
    <row r="176" spans="16:16" x14ac:dyDescent="0.3">
      <c r="P176"/>
    </row>
    <row r="177" spans="16:16" x14ac:dyDescent="0.3">
      <c r="P177"/>
    </row>
    <row r="178" spans="16:16" x14ac:dyDescent="0.3">
      <c r="P178"/>
    </row>
    <row r="179" spans="16:16" x14ac:dyDescent="0.3">
      <c r="P179"/>
    </row>
    <row r="180" spans="16:16" x14ac:dyDescent="0.3">
      <c r="P180"/>
    </row>
    <row r="181" spans="16:16" x14ac:dyDescent="0.3">
      <c r="P181"/>
    </row>
    <row r="182" spans="16:16" x14ac:dyDescent="0.3">
      <c r="P182"/>
    </row>
    <row r="183" spans="16:16" x14ac:dyDescent="0.3">
      <c r="P183"/>
    </row>
    <row r="184" spans="16:16" x14ac:dyDescent="0.3">
      <c r="P184"/>
    </row>
    <row r="185" spans="16:16" x14ac:dyDescent="0.3">
      <c r="P185"/>
    </row>
    <row r="186" spans="16:16" x14ac:dyDescent="0.3">
      <c r="P186"/>
    </row>
    <row r="187" spans="16:16" x14ac:dyDescent="0.3">
      <c r="P187"/>
    </row>
    <row r="188" spans="16:16" x14ac:dyDescent="0.3">
      <c r="P188"/>
    </row>
    <row r="189" spans="16:16" x14ac:dyDescent="0.3">
      <c r="P189"/>
    </row>
    <row r="190" spans="16:16" x14ac:dyDescent="0.3">
      <c r="P190"/>
    </row>
    <row r="191" spans="16:16" x14ac:dyDescent="0.3">
      <c r="P191"/>
    </row>
    <row r="192" spans="16:16" x14ac:dyDescent="0.3">
      <c r="P192"/>
    </row>
    <row r="193" spans="16:16" x14ac:dyDescent="0.3">
      <c r="P193"/>
    </row>
    <row r="194" spans="16:16" x14ac:dyDescent="0.3">
      <c r="P194"/>
    </row>
    <row r="195" spans="16:16" x14ac:dyDescent="0.3">
      <c r="P195"/>
    </row>
    <row r="196" spans="16:16" x14ac:dyDescent="0.3">
      <c r="P196"/>
    </row>
    <row r="197" spans="16:16" x14ac:dyDescent="0.3">
      <c r="P197"/>
    </row>
    <row r="198" spans="16:16" x14ac:dyDescent="0.3">
      <c r="P198"/>
    </row>
    <row r="199" spans="16:16" x14ac:dyDescent="0.3">
      <c r="P199"/>
    </row>
    <row r="200" spans="16:16" x14ac:dyDescent="0.3">
      <c r="P200"/>
    </row>
    <row r="201" spans="16:16" x14ac:dyDescent="0.3">
      <c r="P201"/>
    </row>
    <row r="202" spans="16:16" x14ac:dyDescent="0.3">
      <c r="P202"/>
    </row>
    <row r="203" spans="16:16" x14ac:dyDescent="0.3">
      <c r="P203"/>
    </row>
    <row r="204" spans="16:16" x14ac:dyDescent="0.3">
      <c r="P204"/>
    </row>
    <row r="205" spans="16:16" x14ac:dyDescent="0.3">
      <c r="P205"/>
    </row>
    <row r="206" spans="16:16" x14ac:dyDescent="0.3">
      <c r="P206"/>
    </row>
    <row r="207" spans="16:16" x14ac:dyDescent="0.3">
      <c r="P207"/>
    </row>
    <row r="208" spans="16:16" x14ac:dyDescent="0.3">
      <c r="P208"/>
    </row>
    <row r="209" spans="16:16" x14ac:dyDescent="0.3">
      <c r="P209"/>
    </row>
    <row r="210" spans="16:16" x14ac:dyDescent="0.3">
      <c r="P210"/>
    </row>
    <row r="211" spans="16:16" x14ac:dyDescent="0.3">
      <c r="P211"/>
    </row>
    <row r="212" spans="16:16" x14ac:dyDescent="0.3">
      <c r="P212"/>
    </row>
    <row r="213" spans="16:16" x14ac:dyDescent="0.3">
      <c r="P213"/>
    </row>
    <row r="214" spans="16:16" x14ac:dyDescent="0.3">
      <c r="P214"/>
    </row>
    <row r="215" spans="16:16" x14ac:dyDescent="0.3">
      <c r="P215"/>
    </row>
    <row r="216" spans="16:16" x14ac:dyDescent="0.3">
      <c r="P216"/>
    </row>
    <row r="217" spans="16:16" x14ac:dyDescent="0.3">
      <c r="P217"/>
    </row>
    <row r="218" spans="16:16" x14ac:dyDescent="0.3">
      <c r="P218"/>
    </row>
    <row r="219" spans="16:16" x14ac:dyDescent="0.3">
      <c r="P219"/>
    </row>
    <row r="220" spans="16:16" x14ac:dyDescent="0.3">
      <c r="P220"/>
    </row>
    <row r="221" spans="16:16" x14ac:dyDescent="0.3">
      <c r="P221"/>
    </row>
    <row r="222" spans="16:16" x14ac:dyDescent="0.3">
      <c r="P222"/>
    </row>
    <row r="223" spans="16:16" x14ac:dyDescent="0.3">
      <c r="P223"/>
    </row>
    <row r="224" spans="16:16" x14ac:dyDescent="0.3">
      <c r="P224"/>
    </row>
    <row r="225" spans="16:16" x14ac:dyDescent="0.3">
      <c r="P225"/>
    </row>
    <row r="226" spans="16:16" x14ac:dyDescent="0.3">
      <c r="P226"/>
    </row>
    <row r="227" spans="16:16" x14ac:dyDescent="0.3">
      <c r="P227"/>
    </row>
    <row r="228" spans="16:16" x14ac:dyDescent="0.3">
      <c r="P228"/>
    </row>
    <row r="229" spans="16:16" x14ac:dyDescent="0.3">
      <c r="P229"/>
    </row>
    <row r="230" spans="16:16" x14ac:dyDescent="0.3">
      <c r="P230"/>
    </row>
    <row r="231" spans="16:16" x14ac:dyDescent="0.3">
      <c r="P231"/>
    </row>
    <row r="232" spans="16:16" x14ac:dyDescent="0.3">
      <c r="P232"/>
    </row>
    <row r="233" spans="16:16" x14ac:dyDescent="0.3">
      <c r="P233"/>
    </row>
    <row r="234" spans="16:16" x14ac:dyDescent="0.3">
      <c r="P234"/>
    </row>
    <row r="235" spans="16:16" x14ac:dyDescent="0.3">
      <c r="P235"/>
    </row>
    <row r="236" spans="16:16" x14ac:dyDescent="0.3">
      <c r="P236"/>
    </row>
    <row r="237" spans="16:16" x14ac:dyDescent="0.3">
      <c r="P237"/>
    </row>
    <row r="238" spans="16:16" x14ac:dyDescent="0.3">
      <c r="P238"/>
    </row>
    <row r="239" spans="16:16" x14ac:dyDescent="0.3">
      <c r="P239"/>
    </row>
    <row r="240" spans="16:16" x14ac:dyDescent="0.3">
      <c r="P240"/>
    </row>
    <row r="241" spans="16:16" x14ac:dyDescent="0.3">
      <c r="P241"/>
    </row>
    <row r="242" spans="16:16" x14ac:dyDescent="0.3">
      <c r="P242"/>
    </row>
    <row r="243" spans="16:16" x14ac:dyDescent="0.3">
      <c r="P243"/>
    </row>
    <row r="244" spans="16:16" x14ac:dyDescent="0.3">
      <c r="P244"/>
    </row>
    <row r="245" spans="16:16" x14ac:dyDescent="0.3">
      <c r="P245"/>
    </row>
    <row r="246" spans="16:16" x14ac:dyDescent="0.3">
      <c r="P246"/>
    </row>
    <row r="247" spans="16:16" x14ac:dyDescent="0.3">
      <c r="P247"/>
    </row>
    <row r="248" spans="16:16" x14ac:dyDescent="0.3">
      <c r="P248"/>
    </row>
    <row r="249" spans="16:16" x14ac:dyDescent="0.3">
      <c r="P249"/>
    </row>
    <row r="250" spans="16:16" x14ac:dyDescent="0.3">
      <c r="P250"/>
    </row>
    <row r="251" spans="16:16" x14ac:dyDescent="0.3">
      <c r="P251"/>
    </row>
    <row r="252" spans="16:16" x14ac:dyDescent="0.3">
      <c r="P252"/>
    </row>
    <row r="253" spans="16:16" x14ac:dyDescent="0.3">
      <c r="P253"/>
    </row>
    <row r="254" spans="16:16" x14ac:dyDescent="0.3">
      <c r="P254"/>
    </row>
    <row r="255" spans="16:16" x14ac:dyDescent="0.3">
      <c r="P255"/>
    </row>
    <row r="256" spans="16:16" x14ac:dyDescent="0.3">
      <c r="P256"/>
    </row>
    <row r="257" spans="16:16" x14ac:dyDescent="0.3">
      <c r="P257"/>
    </row>
    <row r="258" spans="16:16" x14ac:dyDescent="0.3">
      <c r="P258"/>
    </row>
    <row r="259" spans="16:16" x14ac:dyDescent="0.3">
      <c r="P259"/>
    </row>
    <row r="260" spans="16:16" x14ac:dyDescent="0.3">
      <c r="P260"/>
    </row>
    <row r="261" spans="16:16" x14ac:dyDescent="0.3">
      <c r="P261"/>
    </row>
    <row r="262" spans="16:16" x14ac:dyDescent="0.3">
      <c r="P262"/>
    </row>
    <row r="263" spans="16:16" x14ac:dyDescent="0.3">
      <c r="P263"/>
    </row>
    <row r="264" spans="16:16" x14ac:dyDescent="0.3">
      <c r="P264"/>
    </row>
    <row r="265" spans="16:16" x14ac:dyDescent="0.3">
      <c r="P265"/>
    </row>
    <row r="266" spans="16:16" x14ac:dyDescent="0.3">
      <c r="P266"/>
    </row>
    <row r="267" spans="16:16" x14ac:dyDescent="0.3">
      <c r="P267"/>
    </row>
    <row r="268" spans="16:16" x14ac:dyDescent="0.3">
      <c r="P268"/>
    </row>
    <row r="269" spans="16:16" x14ac:dyDescent="0.3">
      <c r="P269"/>
    </row>
    <row r="270" spans="16:16" x14ac:dyDescent="0.3">
      <c r="P270"/>
    </row>
    <row r="271" spans="16:16" x14ac:dyDescent="0.3">
      <c r="P271"/>
    </row>
    <row r="272" spans="16:16" x14ac:dyDescent="0.3">
      <c r="P272"/>
    </row>
    <row r="273" spans="16:16" x14ac:dyDescent="0.3">
      <c r="P273"/>
    </row>
    <row r="274" spans="16:16" x14ac:dyDescent="0.3">
      <c r="P274"/>
    </row>
    <row r="275" spans="16:16" x14ac:dyDescent="0.3">
      <c r="P275"/>
    </row>
    <row r="276" spans="16:16" x14ac:dyDescent="0.3">
      <c r="P276"/>
    </row>
    <row r="277" spans="16:16" x14ac:dyDescent="0.3">
      <c r="P277"/>
    </row>
    <row r="278" spans="16:16" x14ac:dyDescent="0.3">
      <c r="P278"/>
    </row>
    <row r="279" spans="16:16" x14ac:dyDescent="0.3">
      <c r="P279"/>
    </row>
    <row r="280" spans="16:16" x14ac:dyDescent="0.3">
      <c r="P280"/>
    </row>
    <row r="281" spans="16:16" x14ac:dyDescent="0.3">
      <c r="P281"/>
    </row>
    <row r="282" spans="16:16" x14ac:dyDescent="0.3">
      <c r="P282"/>
    </row>
    <row r="283" spans="16:16" x14ac:dyDescent="0.3">
      <c r="P283"/>
    </row>
    <row r="284" spans="16:16" x14ac:dyDescent="0.3">
      <c r="P284"/>
    </row>
    <row r="285" spans="16:16" x14ac:dyDescent="0.3">
      <c r="P285"/>
    </row>
    <row r="286" spans="16:16" x14ac:dyDescent="0.3">
      <c r="P286"/>
    </row>
    <row r="287" spans="16:16" x14ac:dyDescent="0.3">
      <c r="P287"/>
    </row>
    <row r="288" spans="16:16" x14ac:dyDescent="0.3">
      <c r="P288"/>
    </row>
    <row r="289" spans="16:16" x14ac:dyDescent="0.3">
      <c r="P289"/>
    </row>
    <row r="290" spans="16:16" x14ac:dyDescent="0.3">
      <c r="P290"/>
    </row>
    <row r="291" spans="16:16" x14ac:dyDescent="0.3">
      <c r="P291"/>
    </row>
    <row r="292" spans="16:16" x14ac:dyDescent="0.3">
      <c r="P292"/>
    </row>
    <row r="293" spans="16:16" x14ac:dyDescent="0.3">
      <c r="P293"/>
    </row>
    <row r="294" spans="16:16" x14ac:dyDescent="0.3">
      <c r="P294"/>
    </row>
    <row r="295" spans="16:16" x14ac:dyDescent="0.3">
      <c r="P295"/>
    </row>
    <row r="296" spans="16:16" x14ac:dyDescent="0.3">
      <c r="P296"/>
    </row>
    <row r="297" spans="16:16" x14ac:dyDescent="0.3">
      <c r="P297"/>
    </row>
    <row r="298" spans="16:16" x14ac:dyDescent="0.3">
      <c r="P298"/>
    </row>
    <row r="299" spans="16:16" x14ac:dyDescent="0.3">
      <c r="P299"/>
    </row>
    <row r="300" spans="16:16" x14ac:dyDescent="0.3">
      <c r="P300"/>
    </row>
    <row r="301" spans="16:16" x14ac:dyDescent="0.3">
      <c r="P301"/>
    </row>
    <row r="302" spans="16:16" x14ac:dyDescent="0.3">
      <c r="P302"/>
    </row>
    <row r="303" spans="16:16" x14ac:dyDescent="0.3">
      <c r="P303"/>
    </row>
    <row r="304" spans="16:16" x14ac:dyDescent="0.3">
      <c r="P304"/>
    </row>
    <row r="305" spans="16:16" x14ac:dyDescent="0.3">
      <c r="P305"/>
    </row>
    <row r="306" spans="16:16" x14ac:dyDescent="0.3">
      <c r="P306"/>
    </row>
    <row r="307" spans="16:16" x14ac:dyDescent="0.3">
      <c r="P307"/>
    </row>
    <row r="308" spans="16:16" x14ac:dyDescent="0.3">
      <c r="P308"/>
    </row>
    <row r="309" spans="16:16" x14ac:dyDescent="0.3">
      <c r="P309"/>
    </row>
    <row r="310" spans="16:16" x14ac:dyDescent="0.3">
      <c r="P310"/>
    </row>
    <row r="311" spans="16:16" x14ac:dyDescent="0.3">
      <c r="P311"/>
    </row>
    <row r="312" spans="16:16" x14ac:dyDescent="0.3">
      <c r="P312"/>
    </row>
    <row r="313" spans="16:16" x14ac:dyDescent="0.3">
      <c r="P313"/>
    </row>
    <row r="314" spans="16:16" x14ac:dyDescent="0.3">
      <c r="P314"/>
    </row>
    <row r="315" spans="16:16" x14ac:dyDescent="0.3">
      <c r="P315"/>
    </row>
    <row r="316" spans="16:16" x14ac:dyDescent="0.3">
      <c r="P316"/>
    </row>
    <row r="317" spans="16:16" x14ac:dyDescent="0.3">
      <c r="P317"/>
    </row>
    <row r="318" spans="16:16" x14ac:dyDescent="0.3">
      <c r="P318"/>
    </row>
    <row r="319" spans="16:16" x14ac:dyDescent="0.3">
      <c r="P319"/>
    </row>
    <row r="320" spans="16:16" x14ac:dyDescent="0.3">
      <c r="P320"/>
    </row>
    <row r="321" spans="16:16" x14ac:dyDescent="0.3">
      <c r="P321"/>
    </row>
    <row r="322" spans="16:16" x14ac:dyDescent="0.3">
      <c r="P322"/>
    </row>
    <row r="323" spans="16:16" x14ac:dyDescent="0.3">
      <c r="P323"/>
    </row>
    <row r="324" spans="16:16" x14ac:dyDescent="0.3">
      <c r="P324"/>
    </row>
    <row r="325" spans="16:16" x14ac:dyDescent="0.3">
      <c r="P325"/>
    </row>
    <row r="326" spans="16:16" x14ac:dyDescent="0.3">
      <c r="P326"/>
    </row>
    <row r="327" spans="16:16" x14ac:dyDescent="0.3">
      <c r="P327"/>
    </row>
    <row r="328" spans="16:16" x14ac:dyDescent="0.3">
      <c r="P328"/>
    </row>
    <row r="329" spans="16:16" x14ac:dyDescent="0.3">
      <c r="P329"/>
    </row>
    <row r="330" spans="16:16" x14ac:dyDescent="0.3">
      <c r="P330"/>
    </row>
    <row r="331" spans="16:16" x14ac:dyDescent="0.3">
      <c r="P331"/>
    </row>
    <row r="332" spans="16:16" x14ac:dyDescent="0.3">
      <c r="P332"/>
    </row>
    <row r="333" spans="16:16" x14ac:dyDescent="0.3">
      <c r="P333"/>
    </row>
    <row r="334" spans="16:16" x14ac:dyDescent="0.3">
      <c r="P334"/>
    </row>
    <row r="335" spans="16:16" x14ac:dyDescent="0.3">
      <c r="P335"/>
    </row>
    <row r="336" spans="16:16" x14ac:dyDescent="0.3">
      <c r="P336"/>
    </row>
    <row r="337" spans="16:16" x14ac:dyDescent="0.3">
      <c r="P337"/>
    </row>
    <row r="338" spans="16:16" x14ac:dyDescent="0.3">
      <c r="P338"/>
    </row>
    <row r="339" spans="16:16" x14ac:dyDescent="0.3">
      <c r="P339"/>
    </row>
    <row r="340" spans="16:16" x14ac:dyDescent="0.3">
      <c r="P340"/>
    </row>
    <row r="341" spans="16:16" x14ac:dyDescent="0.3">
      <c r="P341"/>
    </row>
    <row r="342" spans="16:16" x14ac:dyDescent="0.3">
      <c r="P342"/>
    </row>
    <row r="343" spans="16:16" x14ac:dyDescent="0.3">
      <c r="P343"/>
    </row>
    <row r="344" spans="16:16" x14ac:dyDescent="0.3">
      <c r="P344"/>
    </row>
    <row r="345" spans="16:16" x14ac:dyDescent="0.3">
      <c r="P345"/>
    </row>
    <row r="346" spans="16:16" x14ac:dyDescent="0.3">
      <c r="P346"/>
    </row>
    <row r="347" spans="16:16" x14ac:dyDescent="0.3">
      <c r="P347"/>
    </row>
    <row r="348" spans="16:16" x14ac:dyDescent="0.3">
      <c r="P348"/>
    </row>
    <row r="349" spans="16:16" x14ac:dyDescent="0.3">
      <c r="P349"/>
    </row>
    <row r="350" spans="16:16" x14ac:dyDescent="0.3">
      <c r="P350"/>
    </row>
    <row r="351" spans="16:16" x14ac:dyDescent="0.3">
      <c r="P351"/>
    </row>
    <row r="352" spans="16:16" x14ac:dyDescent="0.3">
      <c r="P352"/>
    </row>
    <row r="353" spans="16:16" x14ac:dyDescent="0.3">
      <c r="P353"/>
    </row>
    <row r="354" spans="16:16" x14ac:dyDescent="0.3">
      <c r="P354"/>
    </row>
    <row r="355" spans="16:16" x14ac:dyDescent="0.3">
      <c r="P355"/>
    </row>
    <row r="356" spans="16:16" x14ac:dyDescent="0.3">
      <c r="P356"/>
    </row>
    <row r="357" spans="16:16" x14ac:dyDescent="0.3">
      <c r="P357"/>
    </row>
    <row r="358" spans="16:16" x14ac:dyDescent="0.3">
      <c r="P358"/>
    </row>
    <row r="359" spans="16:16" x14ac:dyDescent="0.3">
      <c r="P359"/>
    </row>
    <row r="360" spans="16:16" x14ac:dyDescent="0.3">
      <c r="P360"/>
    </row>
    <row r="361" spans="16:16" x14ac:dyDescent="0.3">
      <c r="P361"/>
    </row>
    <row r="362" spans="16:16" x14ac:dyDescent="0.3">
      <c r="P362"/>
    </row>
    <row r="363" spans="16:16" x14ac:dyDescent="0.3">
      <c r="P363"/>
    </row>
    <row r="364" spans="16:16" x14ac:dyDescent="0.3">
      <c r="P364"/>
    </row>
    <row r="365" spans="16:16" x14ac:dyDescent="0.3">
      <c r="P365"/>
    </row>
    <row r="366" spans="16:16" x14ac:dyDescent="0.3">
      <c r="P366"/>
    </row>
    <row r="367" spans="16:16" x14ac:dyDescent="0.3">
      <c r="P367"/>
    </row>
    <row r="368" spans="16:16" x14ac:dyDescent="0.3">
      <c r="P368"/>
    </row>
    <row r="369" spans="16:16" x14ac:dyDescent="0.3">
      <c r="P369"/>
    </row>
    <row r="370" spans="16:16" x14ac:dyDescent="0.3">
      <c r="P370"/>
    </row>
    <row r="371" spans="16:16" x14ac:dyDescent="0.3">
      <c r="P371"/>
    </row>
    <row r="372" spans="16:16" x14ac:dyDescent="0.3">
      <c r="P372"/>
    </row>
    <row r="373" spans="16:16" x14ac:dyDescent="0.3">
      <c r="P373"/>
    </row>
    <row r="374" spans="16:16" x14ac:dyDescent="0.3">
      <c r="P374"/>
    </row>
    <row r="375" spans="16:16" x14ac:dyDescent="0.3">
      <c r="P375"/>
    </row>
    <row r="376" spans="16:16" x14ac:dyDescent="0.3">
      <c r="P376"/>
    </row>
    <row r="377" spans="16:16" x14ac:dyDescent="0.3">
      <c r="P377"/>
    </row>
    <row r="378" spans="16:16" x14ac:dyDescent="0.3">
      <c r="P378"/>
    </row>
    <row r="379" spans="16:16" x14ac:dyDescent="0.3">
      <c r="P379"/>
    </row>
    <row r="380" spans="16:16" x14ac:dyDescent="0.3">
      <c r="P380"/>
    </row>
    <row r="381" spans="16:16" x14ac:dyDescent="0.3">
      <c r="P381"/>
    </row>
    <row r="382" spans="16:16" x14ac:dyDescent="0.3">
      <c r="P382"/>
    </row>
    <row r="383" spans="16:16" x14ac:dyDescent="0.3">
      <c r="P383"/>
    </row>
    <row r="384" spans="16:16" x14ac:dyDescent="0.3">
      <c r="P384"/>
    </row>
    <row r="385" spans="16:16" x14ac:dyDescent="0.3">
      <c r="P385"/>
    </row>
    <row r="386" spans="16:16" x14ac:dyDescent="0.3">
      <c r="P386"/>
    </row>
    <row r="387" spans="16:16" x14ac:dyDescent="0.3">
      <c r="P387"/>
    </row>
    <row r="388" spans="16:16" x14ac:dyDescent="0.3">
      <c r="P388"/>
    </row>
    <row r="389" spans="16:16" x14ac:dyDescent="0.3">
      <c r="P389"/>
    </row>
    <row r="390" spans="16:16" x14ac:dyDescent="0.3">
      <c r="P390"/>
    </row>
    <row r="391" spans="16:16" x14ac:dyDescent="0.3">
      <c r="P391"/>
    </row>
    <row r="392" spans="16:16" x14ac:dyDescent="0.3">
      <c r="P392"/>
    </row>
    <row r="393" spans="16:16" x14ac:dyDescent="0.3">
      <c r="P393"/>
    </row>
    <row r="394" spans="16:16" x14ac:dyDescent="0.3">
      <c r="P394"/>
    </row>
    <row r="395" spans="16:16" x14ac:dyDescent="0.3">
      <c r="P395"/>
    </row>
    <row r="396" spans="16:16" x14ac:dyDescent="0.3">
      <c r="P396"/>
    </row>
    <row r="397" spans="16:16" x14ac:dyDescent="0.3">
      <c r="P397"/>
    </row>
    <row r="398" spans="16:16" x14ac:dyDescent="0.3">
      <c r="P398"/>
    </row>
    <row r="399" spans="16:16" x14ac:dyDescent="0.3">
      <c r="P399"/>
    </row>
    <row r="400" spans="16:16" x14ac:dyDescent="0.3">
      <c r="P400"/>
    </row>
    <row r="401" spans="16:16" x14ac:dyDescent="0.3">
      <c r="P401"/>
    </row>
    <row r="402" spans="16:16" x14ac:dyDescent="0.3">
      <c r="P402"/>
    </row>
    <row r="403" spans="16:16" x14ac:dyDescent="0.3">
      <c r="P403"/>
    </row>
    <row r="404" spans="16:16" x14ac:dyDescent="0.3">
      <c r="P404"/>
    </row>
    <row r="405" spans="16:16" x14ac:dyDescent="0.3">
      <c r="P405"/>
    </row>
    <row r="406" spans="16:16" x14ac:dyDescent="0.3">
      <c r="P406"/>
    </row>
    <row r="407" spans="16:16" x14ac:dyDescent="0.3">
      <c r="P407"/>
    </row>
    <row r="408" spans="16:16" x14ac:dyDescent="0.3">
      <c r="P408"/>
    </row>
    <row r="409" spans="16:16" x14ac:dyDescent="0.3">
      <c r="P409"/>
    </row>
    <row r="410" spans="16:16" x14ac:dyDescent="0.3">
      <c r="P410"/>
    </row>
    <row r="411" spans="16:16" x14ac:dyDescent="0.3">
      <c r="P411"/>
    </row>
    <row r="412" spans="16:16" x14ac:dyDescent="0.3">
      <c r="P412"/>
    </row>
    <row r="413" spans="16:16" x14ac:dyDescent="0.3">
      <c r="P413"/>
    </row>
    <row r="414" spans="16:16" x14ac:dyDescent="0.3">
      <c r="P414"/>
    </row>
    <row r="415" spans="16:16" x14ac:dyDescent="0.3">
      <c r="P415"/>
    </row>
    <row r="416" spans="16:16" x14ac:dyDescent="0.3">
      <c r="P416"/>
    </row>
    <row r="417" spans="16:16" x14ac:dyDescent="0.3">
      <c r="P417"/>
    </row>
    <row r="418" spans="16:16" x14ac:dyDescent="0.3">
      <c r="P418"/>
    </row>
    <row r="419" spans="16:16" x14ac:dyDescent="0.3">
      <c r="P419"/>
    </row>
    <row r="420" spans="16:16" x14ac:dyDescent="0.3">
      <c r="P420"/>
    </row>
    <row r="421" spans="16:16" x14ac:dyDescent="0.3">
      <c r="P421"/>
    </row>
    <row r="422" spans="16:16" x14ac:dyDescent="0.3">
      <c r="P422"/>
    </row>
    <row r="423" spans="16:16" x14ac:dyDescent="0.3">
      <c r="P423"/>
    </row>
    <row r="424" spans="16:16" x14ac:dyDescent="0.3">
      <c r="P424"/>
    </row>
    <row r="425" spans="16:16" x14ac:dyDescent="0.3">
      <c r="P425"/>
    </row>
    <row r="426" spans="16:16" x14ac:dyDescent="0.3">
      <c r="P426"/>
    </row>
    <row r="427" spans="16:16" x14ac:dyDescent="0.3">
      <c r="P427"/>
    </row>
    <row r="428" spans="16:16" x14ac:dyDescent="0.3">
      <c r="P428"/>
    </row>
    <row r="429" spans="16:16" x14ac:dyDescent="0.3">
      <c r="P429"/>
    </row>
    <row r="430" spans="16:16" x14ac:dyDescent="0.3">
      <c r="P430"/>
    </row>
    <row r="431" spans="16:16" x14ac:dyDescent="0.3">
      <c r="P431"/>
    </row>
    <row r="432" spans="16:16" x14ac:dyDescent="0.3">
      <c r="P432"/>
    </row>
    <row r="433" spans="16:16" x14ac:dyDescent="0.3">
      <c r="P433"/>
    </row>
    <row r="434" spans="16:16" x14ac:dyDescent="0.3">
      <c r="P434"/>
    </row>
    <row r="435" spans="16:16" x14ac:dyDescent="0.3">
      <c r="P435"/>
    </row>
    <row r="436" spans="16:16" x14ac:dyDescent="0.3">
      <c r="P436"/>
    </row>
    <row r="437" spans="16:16" x14ac:dyDescent="0.3">
      <c r="P437"/>
    </row>
    <row r="438" spans="16:16" x14ac:dyDescent="0.3">
      <c r="P438"/>
    </row>
    <row r="439" spans="16:16" x14ac:dyDescent="0.3">
      <c r="P439"/>
    </row>
    <row r="440" spans="16:16" x14ac:dyDescent="0.3">
      <c r="P440"/>
    </row>
    <row r="441" spans="16:16" x14ac:dyDescent="0.3">
      <c r="P441"/>
    </row>
    <row r="442" spans="16:16" x14ac:dyDescent="0.3">
      <c r="P442"/>
    </row>
    <row r="443" spans="16:16" x14ac:dyDescent="0.3">
      <c r="P443"/>
    </row>
    <row r="444" spans="16:16" x14ac:dyDescent="0.3">
      <c r="P444"/>
    </row>
    <row r="445" spans="16:16" x14ac:dyDescent="0.3">
      <c r="P445"/>
    </row>
    <row r="446" spans="16:16" x14ac:dyDescent="0.3">
      <c r="P446"/>
    </row>
    <row r="447" spans="16:16" x14ac:dyDescent="0.3">
      <c r="P447"/>
    </row>
    <row r="448" spans="16:16" x14ac:dyDescent="0.3">
      <c r="P448"/>
    </row>
    <row r="449" spans="16:16" x14ac:dyDescent="0.3">
      <c r="P449"/>
    </row>
    <row r="450" spans="16:16" x14ac:dyDescent="0.3">
      <c r="P450"/>
    </row>
    <row r="451" spans="16:16" x14ac:dyDescent="0.3">
      <c r="P451"/>
    </row>
    <row r="452" spans="16:16" x14ac:dyDescent="0.3">
      <c r="P452"/>
    </row>
    <row r="453" spans="16:16" x14ac:dyDescent="0.3">
      <c r="P453"/>
    </row>
    <row r="454" spans="16:16" x14ac:dyDescent="0.3">
      <c r="P454"/>
    </row>
    <row r="455" spans="16:16" x14ac:dyDescent="0.3">
      <c r="P455"/>
    </row>
    <row r="456" spans="16:16" x14ac:dyDescent="0.3">
      <c r="P456"/>
    </row>
    <row r="457" spans="16:16" x14ac:dyDescent="0.3">
      <c r="P457"/>
    </row>
    <row r="458" spans="16:16" x14ac:dyDescent="0.3">
      <c r="P458"/>
    </row>
    <row r="459" spans="16:16" x14ac:dyDescent="0.3">
      <c r="P459"/>
    </row>
    <row r="460" spans="16:16" x14ac:dyDescent="0.3">
      <c r="P460"/>
    </row>
    <row r="461" spans="16:16" x14ac:dyDescent="0.3">
      <c r="P461"/>
    </row>
    <row r="462" spans="16:16" x14ac:dyDescent="0.3">
      <c r="P462"/>
    </row>
    <row r="463" spans="16:16" x14ac:dyDescent="0.3">
      <c r="P463"/>
    </row>
    <row r="464" spans="16:16" x14ac:dyDescent="0.3">
      <c r="P464"/>
    </row>
    <row r="465" spans="16:16" x14ac:dyDescent="0.3">
      <c r="P465"/>
    </row>
    <row r="466" spans="16:16" x14ac:dyDescent="0.3">
      <c r="P466"/>
    </row>
    <row r="467" spans="16:16" x14ac:dyDescent="0.3">
      <c r="P467"/>
    </row>
    <row r="468" spans="16:16" x14ac:dyDescent="0.3">
      <c r="P468"/>
    </row>
    <row r="469" spans="16:16" x14ac:dyDescent="0.3">
      <c r="P469"/>
    </row>
    <row r="470" spans="16:16" x14ac:dyDescent="0.3">
      <c r="P470"/>
    </row>
    <row r="471" spans="16:16" x14ac:dyDescent="0.3">
      <c r="P471"/>
    </row>
    <row r="472" spans="16:16" x14ac:dyDescent="0.3">
      <c r="P472"/>
    </row>
    <row r="473" spans="16:16" x14ac:dyDescent="0.3">
      <c r="P473"/>
    </row>
    <row r="474" spans="16:16" x14ac:dyDescent="0.3">
      <c r="P474"/>
    </row>
    <row r="475" spans="16:16" x14ac:dyDescent="0.3">
      <c r="P475"/>
    </row>
    <row r="476" spans="16:16" x14ac:dyDescent="0.3">
      <c r="P476"/>
    </row>
    <row r="477" spans="16:16" x14ac:dyDescent="0.3">
      <c r="P477"/>
    </row>
    <row r="478" spans="16:16" x14ac:dyDescent="0.3">
      <c r="P478"/>
    </row>
    <row r="479" spans="16:16" x14ac:dyDescent="0.3">
      <c r="P479"/>
    </row>
    <row r="480" spans="16:16" x14ac:dyDescent="0.3">
      <c r="P480"/>
    </row>
    <row r="481" spans="16:16" x14ac:dyDescent="0.3">
      <c r="P481"/>
    </row>
    <row r="482" spans="16:16" x14ac:dyDescent="0.3">
      <c r="P482"/>
    </row>
    <row r="483" spans="16:16" x14ac:dyDescent="0.3">
      <c r="P483"/>
    </row>
    <row r="484" spans="16:16" x14ac:dyDescent="0.3">
      <c r="P484"/>
    </row>
    <row r="485" spans="16:16" x14ac:dyDescent="0.3">
      <c r="P485"/>
    </row>
    <row r="486" spans="16:16" x14ac:dyDescent="0.3">
      <c r="P486"/>
    </row>
    <row r="487" spans="16:16" x14ac:dyDescent="0.3">
      <c r="P487"/>
    </row>
    <row r="488" spans="16:16" x14ac:dyDescent="0.3">
      <c r="P488"/>
    </row>
    <row r="489" spans="16:16" x14ac:dyDescent="0.3">
      <c r="P489"/>
    </row>
    <row r="490" spans="16:16" x14ac:dyDescent="0.3">
      <c r="P490"/>
    </row>
    <row r="491" spans="16:16" x14ac:dyDescent="0.3">
      <c r="P491"/>
    </row>
    <row r="492" spans="16:16" x14ac:dyDescent="0.3">
      <c r="P492"/>
    </row>
    <row r="493" spans="16:16" x14ac:dyDescent="0.3">
      <c r="P493"/>
    </row>
    <row r="494" spans="16:16" x14ac:dyDescent="0.3">
      <c r="P494"/>
    </row>
    <row r="495" spans="16:16" x14ac:dyDescent="0.3">
      <c r="P495"/>
    </row>
    <row r="496" spans="16:16" x14ac:dyDescent="0.3">
      <c r="P496"/>
    </row>
    <row r="497" spans="16:16" x14ac:dyDescent="0.3">
      <c r="P497"/>
    </row>
    <row r="498" spans="16:16" x14ac:dyDescent="0.3">
      <c r="P498"/>
    </row>
    <row r="499" spans="16:16" x14ac:dyDescent="0.3">
      <c r="P499"/>
    </row>
    <row r="500" spans="16:16" x14ac:dyDescent="0.3">
      <c r="P500"/>
    </row>
    <row r="501" spans="16:16" x14ac:dyDescent="0.3">
      <c r="P501"/>
    </row>
    <row r="502" spans="16:16" x14ac:dyDescent="0.3">
      <c r="P502"/>
    </row>
    <row r="503" spans="16:16" x14ac:dyDescent="0.3">
      <c r="P503"/>
    </row>
    <row r="504" spans="16:16" x14ac:dyDescent="0.3">
      <c r="P504"/>
    </row>
    <row r="505" spans="16:16" x14ac:dyDescent="0.3">
      <c r="P505"/>
    </row>
    <row r="506" spans="16:16" x14ac:dyDescent="0.3">
      <c r="P506"/>
    </row>
    <row r="507" spans="16:16" x14ac:dyDescent="0.3">
      <c r="P507"/>
    </row>
    <row r="508" spans="16:16" x14ac:dyDescent="0.3">
      <c r="P508"/>
    </row>
    <row r="509" spans="16:16" x14ac:dyDescent="0.3">
      <c r="P509"/>
    </row>
    <row r="510" spans="16:16" x14ac:dyDescent="0.3">
      <c r="P510"/>
    </row>
    <row r="511" spans="16:16" x14ac:dyDescent="0.3">
      <c r="P511"/>
    </row>
    <row r="512" spans="16:16" x14ac:dyDescent="0.3">
      <c r="P512"/>
    </row>
    <row r="513" spans="16:16" x14ac:dyDescent="0.3">
      <c r="P513"/>
    </row>
    <row r="514" spans="16:16" x14ac:dyDescent="0.3">
      <c r="P514"/>
    </row>
    <row r="515" spans="16:16" x14ac:dyDescent="0.3">
      <c r="P515"/>
    </row>
    <row r="516" spans="16:16" x14ac:dyDescent="0.3">
      <c r="P516"/>
    </row>
    <row r="517" spans="16:16" x14ac:dyDescent="0.3">
      <c r="P517"/>
    </row>
    <row r="518" spans="16:16" x14ac:dyDescent="0.3">
      <c r="P518"/>
    </row>
    <row r="519" spans="16:16" x14ac:dyDescent="0.3">
      <c r="P519"/>
    </row>
    <row r="520" spans="16:16" x14ac:dyDescent="0.3">
      <c r="P520"/>
    </row>
    <row r="521" spans="16:16" x14ac:dyDescent="0.3">
      <c r="P521"/>
    </row>
    <row r="522" spans="16:16" x14ac:dyDescent="0.3">
      <c r="P522"/>
    </row>
    <row r="523" spans="16:16" x14ac:dyDescent="0.3">
      <c r="P523"/>
    </row>
    <row r="524" spans="16:16" x14ac:dyDescent="0.3">
      <c r="P524"/>
    </row>
    <row r="525" spans="16:16" x14ac:dyDescent="0.3">
      <c r="P525"/>
    </row>
    <row r="526" spans="16:16" x14ac:dyDescent="0.3">
      <c r="P526"/>
    </row>
    <row r="527" spans="16:16" x14ac:dyDescent="0.3">
      <c r="P527"/>
    </row>
    <row r="528" spans="16:16" x14ac:dyDescent="0.3">
      <c r="P528"/>
    </row>
    <row r="529" spans="16:16" x14ac:dyDescent="0.3">
      <c r="P529"/>
    </row>
    <row r="530" spans="16:16" x14ac:dyDescent="0.3">
      <c r="P530"/>
    </row>
    <row r="531" spans="16:16" x14ac:dyDescent="0.3">
      <c r="P531"/>
    </row>
    <row r="532" spans="16:16" x14ac:dyDescent="0.3">
      <c r="P532"/>
    </row>
    <row r="533" spans="16:16" x14ac:dyDescent="0.3">
      <c r="P533"/>
    </row>
    <row r="534" spans="16:16" x14ac:dyDescent="0.3">
      <c r="P534"/>
    </row>
    <row r="535" spans="16:16" x14ac:dyDescent="0.3">
      <c r="P535"/>
    </row>
    <row r="536" spans="16:16" x14ac:dyDescent="0.3">
      <c r="P536"/>
    </row>
    <row r="537" spans="16:16" x14ac:dyDescent="0.3">
      <c r="P537"/>
    </row>
    <row r="538" spans="16:16" x14ac:dyDescent="0.3">
      <c r="P538"/>
    </row>
    <row r="539" spans="16:16" x14ac:dyDescent="0.3">
      <c r="P539"/>
    </row>
    <row r="540" spans="16:16" x14ac:dyDescent="0.3">
      <c r="P540"/>
    </row>
    <row r="541" spans="16:16" x14ac:dyDescent="0.3">
      <c r="P541"/>
    </row>
    <row r="542" spans="16:16" x14ac:dyDescent="0.3">
      <c r="P542"/>
    </row>
    <row r="543" spans="16:16" x14ac:dyDescent="0.3">
      <c r="P543"/>
    </row>
    <row r="544" spans="16:16" x14ac:dyDescent="0.3">
      <c r="P544"/>
    </row>
    <row r="545" spans="16:16" x14ac:dyDescent="0.3">
      <c r="P545"/>
    </row>
    <row r="546" spans="16:16" x14ac:dyDescent="0.3">
      <c r="P546"/>
    </row>
    <row r="547" spans="16:16" x14ac:dyDescent="0.3">
      <c r="P547"/>
    </row>
    <row r="548" spans="16:16" x14ac:dyDescent="0.3">
      <c r="P548"/>
    </row>
    <row r="549" spans="16:16" x14ac:dyDescent="0.3">
      <c r="P549"/>
    </row>
    <row r="550" spans="16:16" x14ac:dyDescent="0.3">
      <c r="P550"/>
    </row>
    <row r="551" spans="16:16" x14ac:dyDescent="0.3">
      <c r="P551"/>
    </row>
    <row r="552" spans="16:16" x14ac:dyDescent="0.3">
      <c r="P552"/>
    </row>
    <row r="553" spans="16:16" x14ac:dyDescent="0.3">
      <c r="P553"/>
    </row>
    <row r="554" spans="16:16" x14ac:dyDescent="0.3">
      <c r="P554"/>
    </row>
    <row r="555" spans="16:16" x14ac:dyDescent="0.3">
      <c r="P555"/>
    </row>
    <row r="556" spans="16:16" x14ac:dyDescent="0.3">
      <c r="P556"/>
    </row>
    <row r="557" spans="16:16" x14ac:dyDescent="0.3">
      <c r="P557"/>
    </row>
    <row r="558" spans="16:16" x14ac:dyDescent="0.3">
      <c r="P558"/>
    </row>
    <row r="559" spans="16:16" x14ac:dyDescent="0.3">
      <c r="P559"/>
    </row>
    <row r="560" spans="16:16" x14ac:dyDescent="0.3">
      <c r="P560"/>
    </row>
    <row r="561" spans="16:16" x14ac:dyDescent="0.3">
      <c r="P561"/>
    </row>
    <row r="562" spans="16:16" x14ac:dyDescent="0.3">
      <c r="P562"/>
    </row>
    <row r="563" spans="16:16" x14ac:dyDescent="0.3">
      <c r="P563"/>
    </row>
    <row r="564" spans="16:16" x14ac:dyDescent="0.3">
      <c r="P564"/>
    </row>
    <row r="565" spans="16:16" x14ac:dyDescent="0.3">
      <c r="P565"/>
    </row>
    <row r="566" spans="16:16" x14ac:dyDescent="0.3">
      <c r="P566"/>
    </row>
    <row r="567" spans="16:16" x14ac:dyDescent="0.3">
      <c r="P567"/>
    </row>
    <row r="568" spans="16:16" x14ac:dyDescent="0.3">
      <c r="P568"/>
    </row>
    <row r="569" spans="16:16" x14ac:dyDescent="0.3">
      <c r="P569"/>
    </row>
    <row r="570" spans="16:16" x14ac:dyDescent="0.3">
      <c r="P570"/>
    </row>
    <row r="571" spans="16:16" x14ac:dyDescent="0.3">
      <c r="P571"/>
    </row>
    <row r="572" spans="16:16" x14ac:dyDescent="0.3">
      <c r="P572"/>
    </row>
    <row r="573" spans="16:16" x14ac:dyDescent="0.3">
      <c r="P573"/>
    </row>
    <row r="574" spans="16:16" x14ac:dyDescent="0.3">
      <c r="P574"/>
    </row>
    <row r="575" spans="16:16" x14ac:dyDescent="0.3">
      <c r="P575"/>
    </row>
    <row r="576" spans="16:16" x14ac:dyDescent="0.3">
      <c r="P576"/>
    </row>
    <row r="577" spans="16:16" x14ac:dyDescent="0.3">
      <c r="P577"/>
    </row>
    <row r="578" spans="16:16" x14ac:dyDescent="0.3">
      <c r="P578"/>
    </row>
    <row r="579" spans="16:16" x14ac:dyDescent="0.3">
      <c r="P579"/>
    </row>
    <row r="580" spans="16:16" x14ac:dyDescent="0.3">
      <c r="P580"/>
    </row>
    <row r="581" spans="16:16" x14ac:dyDescent="0.3">
      <c r="P581"/>
    </row>
    <row r="582" spans="16:16" x14ac:dyDescent="0.3">
      <c r="P582"/>
    </row>
    <row r="583" spans="16:16" x14ac:dyDescent="0.3">
      <c r="P583"/>
    </row>
    <row r="584" spans="16:16" x14ac:dyDescent="0.3">
      <c r="P584"/>
    </row>
    <row r="585" spans="16:16" x14ac:dyDescent="0.3">
      <c r="P585"/>
    </row>
    <row r="586" spans="16:16" x14ac:dyDescent="0.3">
      <c r="P586"/>
    </row>
    <row r="587" spans="16:16" x14ac:dyDescent="0.3">
      <c r="P587"/>
    </row>
    <row r="588" spans="16:16" x14ac:dyDescent="0.3">
      <c r="P588"/>
    </row>
    <row r="589" spans="16:16" x14ac:dyDescent="0.3">
      <c r="P589"/>
    </row>
    <row r="590" spans="16:16" x14ac:dyDescent="0.3">
      <c r="P590"/>
    </row>
    <row r="591" spans="16:16" x14ac:dyDescent="0.3">
      <c r="P591"/>
    </row>
    <row r="592" spans="16:16" x14ac:dyDescent="0.3">
      <c r="P592"/>
    </row>
    <row r="593" spans="16:16" x14ac:dyDescent="0.3">
      <c r="P593"/>
    </row>
    <row r="594" spans="16:16" x14ac:dyDescent="0.3">
      <c r="P594"/>
    </row>
    <row r="595" spans="16:16" x14ac:dyDescent="0.3">
      <c r="P595"/>
    </row>
    <row r="596" spans="16:16" x14ac:dyDescent="0.3">
      <c r="P596"/>
    </row>
    <row r="597" spans="16:16" x14ac:dyDescent="0.3">
      <c r="P597"/>
    </row>
    <row r="598" spans="16:16" x14ac:dyDescent="0.3">
      <c r="P598"/>
    </row>
    <row r="599" spans="16:16" x14ac:dyDescent="0.3">
      <c r="P599"/>
    </row>
    <row r="600" spans="16:16" x14ac:dyDescent="0.3">
      <c r="P600"/>
    </row>
    <row r="601" spans="16:16" x14ac:dyDescent="0.3">
      <c r="P601"/>
    </row>
    <row r="602" spans="16:16" x14ac:dyDescent="0.3">
      <c r="P602"/>
    </row>
    <row r="603" spans="16:16" x14ac:dyDescent="0.3">
      <c r="P603"/>
    </row>
    <row r="604" spans="16:16" x14ac:dyDescent="0.3">
      <c r="P604"/>
    </row>
    <row r="605" spans="16:16" x14ac:dyDescent="0.3">
      <c r="P605"/>
    </row>
    <row r="606" spans="16:16" x14ac:dyDescent="0.3">
      <c r="P606"/>
    </row>
    <row r="607" spans="16:16" x14ac:dyDescent="0.3">
      <c r="P607"/>
    </row>
    <row r="608" spans="16:16" x14ac:dyDescent="0.3">
      <c r="P608"/>
    </row>
    <row r="609" spans="16:16" x14ac:dyDescent="0.3">
      <c r="P609"/>
    </row>
    <row r="610" spans="16:16" x14ac:dyDescent="0.3">
      <c r="P610"/>
    </row>
    <row r="611" spans="16:16" x14ac:dyDescent="0.3">
      <c r="P611"/>
    </row>
    <row r="612" spans="16:16" x14ac:dyDescent="0.3">
      <c r="P612"/>
    </row>
    <row r="613" spans="16:16" x14ac:dyDescent="0.3">
      <c r="P613"/>
    </row>
    <row r="614" spans="16:16" x14ac:dyDescent="0.3">
      <c r="P614"/>
    </row>
    <row r="615" spans="16:16" x14ac:dyDescent="0.3">
      <c r="P615"/>
    </row>
    <row r="616" spans="16:16" x14ac:dyDescent="0.3">
      <c r="P616"/>
    </row>
    <row r="617" spans="16:16" x14ac:dyDescent="0.3">
      <c r="P617"/>
    </row>
    <row r="618" spans="16:16" x14ac:dyDescent="0.3">
      <c r="P618"/>
    </row>
    <row r="619" spans="16:16" x14ac:dyDescent="0.3">
      <c r="P619"/>
    </row>
    <row r="620" spans="16:16" x14ac:dyDescent="0.3">
      <c r="P620"/>
    </row>
    <row r="621" spans="16:16" x14ac:dyDescent="0.3">
      <c r="P621"/>
    </row>
    <row r="622" spans="16:16" x14ac:dyDescent="0.3">
      <c r="P622"/>
    </row>
    <row r="623" spans="16:16" x14ac:dyDescent="0.3">
      <c r="P623"/>
    </row>
    <row r="624" spans="16:16" x14ac:dyDescent="0.3">
      <c r="P624"/>
    </row>
    <row r="625" spans="16:16" x14ac:dyDescent="0.3">
      <c r="P625"/>
    </row>
    <row r="626" spans="16:16" x14ac:dyDescent="0.3">
      <c r="P626"/>
    </row>
    <row r="627" spans="16:16" x14ac:dyDescent="0.3">
      <c r="P627"/>
    </row>
    <row r="628" spans="16:16" x14ac:dyDescent="0.3">
      <c r="P628"/>
    </row>
    <row r="629" spans="16:16" x14ac:dyDescent="0.3">
      <c r="P629"/>
    </row>
    <row r="630" spans="16:16" x14ac:dyDescent="0.3">
      <c r="P630"/>
    </row>
    <row r="631" spans="16:16" x14ac:dyDescent="0.3">
      <c r="P631"/>
    </row>
    <row r="632" spans="16:16" x14ac:dyDescent="0.3">
      <c r="P632"/>
    </row>
    <row r="633" spans="16:16" x14ac:dyDescent="0.3">
      <c r="P633"/>
    </row>
    <row r="634" spans="16:16" x14ac:dyDescent="0.3">
      <c r="P634"/>
    </row>
    <row r="635" spans="16:16" x14ac:dyDescent="0.3">
      <c r="P635"/>
    </row>
    <row r="636" spans="16:16" x14ac:dyDescent="0.3">
      <c r="P636"/>
    </row>
    <row r="637" spans="16:16" x14ac:dyDescent="0.3">
      <c r="P637"/>
    </row>
    <row r="638" spans="16:16" x14ac:dyDescent="0.3">
      <c r="P638"/>
    </row>
    <row r="639" spans="16:16" x14ac:dyDescent="0.3">
      <c r="P639"/>
    </row>
    <row r="640" spans="16:16" x14ac:dyDescent="0.3">
      <c r="P640"/>
    </row>
    <row r="641" spans="16:16" x14ac:dyDescent="0.3">
      <c r="P641"/>
    </row>
    <row r="642" spans="16:16" x14ac:dyDescent="0.3">
      <c r="P642"/>
    </row>
    <row r="643" spans="16:16" x14ac:dyDescent="0.3">
      <c r="P643"/>
    </row>
    <row r="644" spans="16:16" x14ac:dyDescent="0.3">
      <c r="P644"/>
    </row>
    <row r="645" spans="16:16" x14ac:dyDescent="0.3">
      <c r="P645"/>
    </row>
    <row r="646" spans="16:16" x14ac:dyDescent="0.3">
      <c r="P646"/>
    </row>
    <row r="647" spans="16:16" x14ac:dyDescent="0.3">
      <c r="P647"/>
    </row>
    <row r="648" spans="16:16" x14ac:dyDescent="0.3">
      <c r="P648"/>
    </row>
    <row r="649" spans="16:16" x14ac:dyDescent="0.3">
      <c r="P649"/>
    </row>
    <row r="650" spans="16:16" x14ac:dyDescent="0.3">
      <c r="P650"/>
    </row>
    <row r="651" spans="16:16" x14ac:dyDescent="0.3">
      <c r="P651"/>
    </row>
    <row r="652" spans="16:16" x14ac:dyDescent="0.3">
      <c r="P652"/>
    </row>
    <row r="653" spans="16:16" x14ac:dyDescent="0.3">
      <c r="P653"/>
    </row>
    <row r="654" spans="16:16" x14ac:dyDescent="0.3">
      <c r="P654"/>
    </row>
    <row r="655" spans="16:16" x14ac:dyDescent="0.3">
      <c r="P655"/>
    </row>
    <row r="656" spans="16:16" x14ac:dyDescent="0.3">
      <c r="P656"/>
    </row>
    <row r="657" spans="16:16" x14ac:dyDescent="0.3">
      <c r="P657"/>
    </row>
    <row r="658" spans="16:16" x14ac:dyDescent="0.3">
      <c r="P658"/>
    </row>
    <row r="659" spans="16:16" x14ac:dyDescent="0.3">
      <c r="P659"/>
    </row>
    <row r="660" spans="16:16" x14ac:dyDescent="0.3">
      <c r="P660"/>
    </row>
    <row r="661" spans="16:16" x14ac:dyDescent="0.3">
      <c r="P661"/>
    </row>
    <row r="662" spans="16:16" x14ac:dyDescent="0.3">
      <c r="P662"/>
    </row>
    <row r="663" spans="16:16" x14ac:dyDescent="0.3">
      <c r="P663"/>
    </row>
    <row r="664" spans="16:16" x14ac:dyDescent="0.3">
      <c r="P664"/>
    </row>
    <row r="665" spans="16:16" x14ac:dyDescent="0.3">
      <c r="P665"/>
    </row>
    <row r="666" spans="16:16" x14ac:dyDescent="0.3">
      <c r="P666"/>
    </row>
    <row r="667" spans="16:16" x14ac:dyDescent="0.3">
      <c r="P667"/>
    </row>
    <row r="668" spans="16:16" x14ac:dyDescent="0.3">
      <c r="P668"/>
    </row>
    <row r="669" spans="16:16" x14ac:dyDescent="0.3">
      <c r="P669"/>
    </row>
    <row r="670" spans="16:16" x14ac:dyDescent="0.3">
      <c r="P670"/>
    </row>
    <row r="671" spans="16:16" x14ac:dyDescent="0.3">
      <c r="P671"/>
    </row>
    <row r="672" spans="16:16" x14ac:dyDescent="0.3">
      <c r="P672"/>
    </row>
    <row r="673" spans="16:16" x14ac:dyDescent="0.3">
      <c r="P673"/>
    </row>
    <row r="674" spans="16:16" x14ac:dyDescent="0.3">
      <c r="P674"/>
    </row>
    <row r="675" spans="16:16" x14ac:dyDescent="0.3">
      <c r="P675"/>
    </row>
    <row r="676" spans="16:16" x14ac:dyDescent="0.3">
      <c r="P676"/>
    </row>
    <row r="677" spans="16:16" x14ac:dyDescent="0.3">
      <c r="P677"/>
    </row>
    <row r="678" spans="16:16" x14ac:dyDescent="0.3">
      <c r="P678"/>
    </row>
    <row r="679" spans="16:16" x14ac:dyDescent="0.3">
      <c r="P679"/>
    </row>
    <row r="680" spans="16:16" x14ac:dyDescent="0.3">
      <c r="P680"/>
    </row>
    <row r="681" spans="16:16" x14ac:dyDescent="0.3">
      <c r="P681"/>
    </row>
    <row r="682" spans="16:16" x14ac:dyDescent="0.3">
      <c r="P682"/>
    </row>
    <row r="683" spans="16:16" x14ac:dyDescent="0.3">
      <c r="P683"/>
    </row>
    <row r="684" spans="16:16" x14ac:dyDescent="0.3">
      <c r="P684"/>
    </row>
    <row r="685" spans="16:16" x14ac:dyDescent="0.3">
      <c r="P685"/>
    </row>
    <row r="686" spans="16:16" x14ac:dyDescent="0.3">
      <c r="P686"/>
    </row>
    <row r="687" spans="16:16" x14ac:dyDescent="0.3">
      <c r="P687"/>
    </row>
    <row r="688" spans="16:16" x14ac:dyDescent="0.3">
      <c r="P688"/>
    </row>
    <row r="689" spans="16:16" x14ac:dyDescent="0.3">
      <c r="P689"/>
    </row>
    <row r="690" spans="16:16" x14ac:dyDescent="0.3">
      <c r="P690"/>
    </row>
    <row r="691" spans="16:16" x14ac:dyDescent="0.3">
      <c r="P691"/>
    </row>
    <row r="692" spans="16:16" x14ac:dyDescent="0.3">
      <c r="P692"/>
    </row>
    <row r="693" spans="16:16" x14ac:dyDescent="0.3">
      <c r="P693"/>
    </row>
    <row r="694" spans="16:16" x14ac:dyDescent="0.3">
      <c r="P694"/>
    </row>
    <row r="695" spans="16:16" x14ac:dyDescent="0.3">
      <c r="P695"/>
    </row>
    <row r="696" spans="16:16" x14ac:dyDescent="0.3">
      <c r="P696"/>
    </row>
    <row r="697" spans="16:16" x14ac:dyDescent="0.3">
      <c r="P697"/>
    </row>
    <row r="698" spans="16:16" x14ac:dyDescent="0.3">
      <c r="P698"/>
    </row>
    <row r="699" spans="16:16" x14ac:dyDescent="0.3">
      <c r="P699"/>
    </row>
    <row r="700" spans="16:16" x14ac:dyDescent="0.3">
      <c r="P700"/>
    </row>
    <row r="701" spans="16:16" x14ac:dyDescent="0.3">
      <c r="P701"/>
    </row>
    <row r="702" spans="16:16" x14ac:dyDescent="0.3">
      <c r="P702"/>
    </row>
    <row r="703" spans="16:16" x14ac:dyDescent="0.3">
      <c r="P703"/>
    </row>
    <row r="704" spans="16:16" x14ac:dyDescent="0.3">
      <c r="P704"/>
    </row>
    <row r="705" spans="16:16" x14ac:dyDescent="0.3">
      <c r="P705"/>
    </row>
    <row r="706" spans="16:16" x14ac:dyDescent="0.3">
      <c r="P706"/>
    </row>
    <row r="707" spans="16:16" x14ac:dyDescent="0.3">
      <c r="P707"/>
    </row>
    <row r="708" spans="16:16" x14ac:dyDescent="0.3">
      <c r="P708"/>
    </row>
    <row r="709" spans="16:16" x14ac:dyDescent="0.3">
      <c r="P709"/>
    </row>
    <row r="710" spans="16:16" x14ac:dyDescent="0.3">
      <c r="P710"/>
    </row>
    <row r="711" spans="16:16" x14ac:dyDescent="0.3">
      <c r="P711"/>
    </row>
    <row r="712" spans="16:16" x14ac:dyDescent="0.3">
      <c r="P712"/>
    </row>
    <row r="713" spans="16:16" x14ac:dyDescent="0.3">
      <c r="P713"/>
    </row>
    <row r="714" spans="16:16" x14ac:dyDescent="0.3">
      <c r="P714"/>
    </row>
    <row r="715" spans="16:16" x14ac:dyDescent="0.3">
      <c r="P715"/>
    </row>
    <row r="716" spans="16:16" x14ac:dyDescent="0.3">
      <c r="P716"/>
    </row>
    <row r="717" spans="16:16" x14ac:dyDescent="0.3">
      <c r="P717"/>
    </row>
    <row r="718" spans="16:16" x14ac:dyDescent="0.3">
      <c r="P718"/>
    </row>
    <row r="719" spans="16:16" x14ac:dyDescent="0.3">
      <c r="P719"/>
    </row>
    <row r="720" spans="16:16" x14ac:dyDescent="0.3">
      <c r="P720"/>
    </row>
    <row r="721" spans="16:16" x14ac:dyDescent="0.3">
      <c r="P721"/>
    </row>
    <row r="722" spans="16:16" x14ac:dyDescent="0.3">
      <c r="P722"/>
    </row>
    <row r="723" spans="16:16" x14ac:dyDescent="0.3">
      <c r="P723"/>
    </row>
    <row r="724" spans="16:16" x14ac:dyDescent="0.3">
      <c r="P724"/>
    </row>
    <row r="725" spans="16:16" x14ac:dyDescent="0.3">
      <c r="P725"/>
    </row>
    <row r="726" spans="16:16" x14ac:dyDescent="0.3">
      <c r="P726"/>
    </row>
    <row r="727" spans="16:16" x14ac:dyDescent="0.3">
      <c r="P727"/>
    </row>
    <row r="728" spans="16:16" x14ac:dyDescent="0.3">
      <c r="P728"/>
    </row>
    <row r="729" spans="16:16" x14ac:dyDescent="0.3">
      <c r="P729"/>
    </row>
    <row r="730" spans="16:16" x14ac:dyDescent="0.3">
      <c r="P730"/>
    </row>
    <row r="731" spans="16:16" x14ac:dyDescent="0.3">
      <c r="P731"/>
    </row>
    <row r="732" spans="16:16" x14ac:dyDescent="0.3">
      <c r="P732"/>
    </row>
    <row r="733" spans="16:16" x14ac:dyDescent="0.3">
      <c r="P733"/>
    </row>
    <row r="734" spans="16:16" x14ac:dyDescent="0.3">
      <c r="P734"/>
    </row>
    <row r="735" spans="16:16" x14ac:dyDescent="0.3">
      <c r="P735"/>
    </row>
    <row r="736" spans="16:16" x14ac:dyDescent="0.3">
      <c r="P736"/>
    </row>
    <row r="737" spans="16:16" x14ac:dyDescent="0.3">
      <c r="P737"/>
    </row>
    <row r="738" spans="16:16" x14ac:dyDescent="0.3">
      <c r="P738"/>
    </row>
    <row r="739" spans="16:16" x14ac:dyDescent="0.3">
      <c r="P739"/>
    </row>
    <row r="740" spans="16:16" x14ac:dyDescent="0.3">
      <c r="P740"/>
    </row>
    <row r="741" spans="16:16" x14ac:dyDescent="0.3">
      <c r="P741"/>
    </row>
    <row r="742" spans="16:16" x14ac:dyDescent="0.3">
      <c r="P742"/>
    </row>
    <row r="743" spans="16:16" x14ac:dyDescent="0.3">
      <c r="P743"/>
    </row>
    <row r="744" spans="16:16" x14ac:dyDescent="0.3">
      <c r="P744"/>
    </row>
    <row r="745" spans="16:16" x14ac:dyDescent="0.3">
      <c r="P745"/>
    </row>
    <row r="746" spans="16:16" x14ac:dyDescent="0.3">
      <c r="P746"/>
    </row>
    <row r="747" spans="16:16" x14ac:dyDescent="0.3">
      <c r="P747"/>
    </row>
    <row r="748" spans="16:16" x14ac:dyDescent="0.3">
      <c r="P748"/>
    </row>
    <row r="749" spans="16:16" x14ac:dyDescent="0.3">
      <c r="P749"/>
    </row>
    <row r="750" spans="16:16" x14ac:dyDescent="0.3">
      <c r="P750"/>
    </row>
    <row r="751" spans="16:16" x14ac:dyDescent="0.3">
      <c r="P751"/>
    </row>
    <row r="752" spans="16:16" x14ac:dyDescent="0.3">
      <c r="P752"/>
    </row>
    <row r="753" spans="16:16" x14ac:dyDescent="0.3">
      <c r="P753"/>
    </row>
    <row r="754" spans="16:16" x14ac:dyDescent="0.3">
      <c r="P754"/>
    </row>
    <row r="755" spans="16:16" x14ac:dyDescent="0.3">
      <c r="P755"/>
    </row>
    <row r="756" spans="16:16" x14ac:dyDescent="0.3">
      <c r="P756"/>
    </row>
    <row r="757" spans="16:16" x14ac:dyDescent="0.3">
      <c r="P757"/>
    </row>
    <row r="758" spans="16:16" x14ac:dyDescent="0.3">
      <c r="P758"/>
    </row>
    <row r="759" spans="16:16" x14ac:dyDescent="0.3">
      <c r="P759"/>
    </row>
    <row r="760" spans="16:16" x14ac:dyDescent="0.3">
      <c r="P760"/>
    </row>
    <row r="761" spans="16:16" x14ac:dyDescent="0.3">
      <c r="P761"/>
    </row>
    <row r="762" spans="16:16" x14ac:dyDescent="0.3">
      <c r="P762"/>
    </row>
    <row r="763" spans="16:16" x14ac:dyDescent="0.3">
      <c r="P763"/>
    </row>
    <row r="764" spans="16:16" x14ac:dyDescent="0.3">
      <c r="P764"/>
    </row>
    <row r="765" spans="16:16" x14ac:dyDescent="0.3">
      <c r="P765"/>
    </row>
    <row r="766" spans="16:16" x14ac:dyDescent="0.3">
      <c r="P766"/>
    </row>
    <row r="767" spans="16:16" x14ac:dyDescent="0.3">
      <c r="P767"/>
    </row>
    <row r="768" spans="16:16" x14ac:dyDescent="0.3">
      <c r="P768"/>
    </row>
    <row r="769" spans="16:16" x14ac:dyDescent="0.3">
      <c r="P769"/>
    </row>
    <row r="770" spans="16:16" x14ac:dyDescent="0.3">
      <c r="P770"/>
    </row>
    <row r="771" spans="16:16" x14ac:dyDescent="0.3">
      <c r="P771"/>
    </row>
    <row r="772" spans="16:16" x14ac:dyDescent="0.3">
      <c r="P772"/>
    </row>
    <row r="773" spans="16:16" x14ac:dyDescent="0.3">
      <c r="P773"/>
    </row>
    <row r="774" spans="16:16" x14ac:dyDescent="0.3">
      <c r="P774"/>
    </row>
    <row r="775" spans="16:16" x14ac:dyDescent="0.3">
      <c r="P775"/>
    </row>
    <row r="776" spans="16:16" x14ac:dyDescent="0.3">
      <c r="P776"/>
    </row>
    <row r="777" spans="16:16" x14ac:dyDescent="0.3">
      <c r="P777"/>
    </row>
    <row r="778" spans="16:16" x14ac:dyDescent="0.3">
      <c r="P778"/>
    </row>
    <row r="779" spans="16:16" x14ac:dyDescent="0.3">
      <c r="P779"/>
    </row>
    <row r="780" spans="16:16" x14ac:dyDescent="0.3">
      <c r="P780"/>
    </row>
    <row r="781" spans="16:16" x14ac:dyDescent="0.3">
      <c r="P781"/>
    </row>
    <row r="782" spans="16:16" x14ac:dyDescent="0.3">
      <c r="P782"/>
    </row>
    <row r="783" spans="16:16" x14ac:dyDescent="0.3">
      <c r="P783"/>
    </row>
    <row r="784" spans="16:16" x14ac:dyDescent="0.3">
      <c r="P784"/>
    </row>
    <row r="785" spans="16:16" x14ac:dyDescent="0.3">
      <c r="P785"/>
    </row>
    <row r="786" spans="16:16" x14ac:dyDescent="0.3">
      <c r="P786"/>
    </row>
    <row r="787" spans="16:16" x14ac:dyDescent="0.3">
      <c r="P787"/>
    </row>
    <row r="788" spans="16:16" x14ac:dyDescent="0.3">
      <c r="P788"/>
    </row>
    <row r="789" spans="16:16" x14ac:dyDescent="0.3">
      <c r="P789"/>
    </row>
    <row r="790" spans="16:16" x14ac:dyDescent="0.3">
      <c r="P790"/>
    </row>
    <row r="791" spans="16:16" x14ac:dyDescent="0.3">
      <c r="P791"/>
    </row>
    <row r="792" spans="16:16" x14ac:dyDescent="0.3">
      <c r="P792"/>
    </row>
    <row r="793" spans="16:16" x14ac:dyDescent="0.3">
      <c r="P793"/>
    </row>
    <row r="794" spans="16:16" x14ac:dyDescent="0.3">
      <c r="P794"/>
    </row>
    <row r="795" spans="16:16" x14ac:dyDescent="0.3">
      <c r="P795"/>
    </row>
    <row r="796" spans="16:16" x14ac:dyDescent="0.3">
      <c r="P796"/>
    </row>
    <row r="797" spans="16:16" x14ac:dyDescent="0.3">
      <c r="P797"/>
    </row>
    <row r="798" spans="16:16" x14ac:dyDescent="0.3">
      <c r="P798"/>
    </row>
    <row r="799" spans="16:16" x14ac:dyDescent="0.3">
      <c r="P799"/>
    </row>
    <row r="800" spans="16:16" x14ac:dyDescent="0.3">
      <c r="P800"/>
    </row>
    <row r="801" spans="16:16" x14ac:dyDescent="0.3">
      <c r="P801"/>
    </row>
    <row r="802" spans="16:16" x14ac:dyDescent="0.3">
      <c r="P802"/>
    </row>
    <row r="803" spans="16:16" x14ac:dyDescent="0.3">
      <c r="P803"/>
    </row>
    <row r="804" spans="16:16" x14ac:dyDescent="0.3">
      <c r="P804"/>
    </row>
    <row r="805" spans="16:16" x14ac:dyDescent="0.3">
      <c r="P805"/>
    </row>
    <row r="806" spans="16:16" x14ac:dyDescent="0.3">
      <c r="P806"/>
    </row>
    <row r="807" spans="16:16" x14ac:dyDescent="0.3">
      <c r="P807"/>
    </row>
    <row r="808" spans="16:16" x14ac:dyDescent="0.3">
      <c r="P808"/>
    </row>
    <row r="809" spans="16:16" x14ac:dyDescent="0.3">
      <c r="P809"/>
    </row>
    <row r="810" spans="16:16" x14ac:dyDescent="0.3">
      <c r="P810"/>
    </row>
    <row r="811" spans="16:16" x14ac:dyDescent="0.3">
      <c r="P811"/>
    </row>
    <row r="812" spans="16:16" x14ac:dyDescent="0.3">
      <c r="P812"/>
    </row>
    <row r="813" spans="16:16" x14ac:dyDescent="0.3">
      <c r="P813"/>
    </row>
    <row r="814" spans="16:16" x14ac:dyDescent="0.3">
      <c r="P814"/>
    </row>
    <row r="815" spans="16:16" x14ac:dyDescent="0.3">
      <c r="P815"/>
    </row>
    <row r="816" spans="16:16" x14ac:dyDescent="0.3">
      <c r="P816"/>
    </row>
    <row r="817" spans="16:16" x14ac:dyDescent="0.3">
      <c r="P817"/>
    </row>
    <row r="818" spans="16:16" x14ac:dyDescent="0.3">
      <c r="P818"/>
    </row>
    <row r="819" spans="16:16" x14ac:dyDescent="0.3">
      <c r="P819"/>
    </row>
    <row r="820" spans="16:16" x14ac:dyDescent="0.3">
      <c r="P820"/>
    </row>
    <row r="821" spans="16:16" x14ac:dyDescent="0.3">
      <c r="P821"/>
    </row>
    <row r="822" spans="16:16" x14ac:dyDescent="0.3">
      <c r="P822"/>
    </row>
    <row r="823" spans="16:16" x14ac:dyDescent="0.3">
      <c r="P823"/>
    </row>
    <row r="824" spans="16:16" x14ac:dyDescent="0.3">
      <c r="P824"/>
    </row>
    <row r="825" spans="16:16" x14ac:dyDescent="0.3">
      <c r="P825"/>
    </row>
    <row r="826" spans="16:16" x14ac:dyDescent="0.3">
      <c r="P826"/>
    </row>
    <row r="827" spans="16:16" x14ac:dyDescent="0.3">
      <c r="P827"/>
    </row>
    <row r="828" spans="16:16" x14ac:dyDescent="0.3">
      <c r="P828"/>
    </row>
    <row r="829" spans="16:16" x14ac:dyDescent="0.3">
      <c r="P829"/>
    </row>
    <row r="830" spans="16:16" x14ac:dyDescent="0.3">
      <c r="P830"/>
    </row>
    <row r="831" spans="16:16" x14ac:dyDescent="0.3">
      <c r="P831"/>
    </row>
    <row r="832" spans="16:16" x14ac:dyDescent="0.3">
      <c r="P832"/>
    </row>
    <row r="833" spans="16:16" x14ac:dyDescent="0.3">
      <c r="P833"/>
    </row>
    <row r="834" spans="16:16" x14ac:dyDescent="0.3">
      <c r="P834"/>
    </row>
    <row r="835" spans="16:16" x14ac:dyDescent="0.3">
      <c r="P835"/>
    </row>
    <row r="836" spans="16:16" x14ac:dyDescent="0.3">
      <c r="P836"/>
    </row>
    <row r="837" spans="16:16" x14ac:dyDescent="0.3">
      <c r="P837"/>
    </row>
    <row r="838" spans="16:16" x14ac:dyDescent="0.3">
      <c r="P838"/>
    </row>
    <row r="839" spans="16:16" x14ac:dyDescent="0.3">
      <c r="P839"/>
    </row>
    <row r="840" spans="16:16" x14ac:dyDescent="0.3">
      <c r="P840"/>
    </row>
    <row r="841" spans="16:16" x14ac:dyDescent="0.3">
      <c r="P841"/>
    </row>
    <row r="842" spans="16:16" x14ac:dyDescent="0.3">
      <c r="P842"/>
    </row>
    <row r="843" spans="16:16" x14ac:dyDescent="0.3">
      <c r="P843"/>
    </row>
    <row r="844" spans="16:16" x14ac:dyDescent="0.3">
      <c r="P844"/>
    </row>
    <row r="845" spans="16:16" x14ac:dyDescent="0.3">
      <c r="P845"/>
    </row>
    <row r="846" spans="16:16" x14ac:dyDescent="0.3">
      <c r="P846"/>
    </row>
    <row r="847" spans="16:16" x14ac:dyDescent="0.3">
      <c r="P847"/>
    </row>
    <row r="848" spans="16:16" x14ac:dyDescent="0.3">
      <c r="P848"/>
    </row>
    <row r="849" spans="16:16" x14ac:dyDescent="0.3">
      <c r="P849"/>
    </row>
    <row r="850" spans="16:16" x14ac:dyDescent="0.3">
      <c r="P850"/>
    </row>
    <row r="851" spans="16:16" x14ac:dyDescent="0.3">
      <c r="P851"/>
    </row>
    <row r="852" spans="16:16" x14ac:dyDescent="0.3">
      <c r="P852"/>
    </row>
    <row r="853" spans="16:16" x14ac:dyDescent="0.3">
      <c r="P853"/>
    </row>
    <row r="854" spans="16:16" x14ac:dyDescent="0.3">
      <c r="P854"/>
    </row>
    <row r="855" spans="16:16" x14ac:dyDescent="0.3">
      <c r="P855"/>
    </row>
    <row r="856" spans="16:16" x14ac:dyDescent="0.3">
      <c r="P856"/>
    </row>
    <row r="857" spans="16:16" x14ac:dyDescent="0.3">
      <c r="P857"/>
    </row>
    <row r="858" spans="16:16" x14ac:dyDescent="0.3">
      <c r="P858"/>
    </row>
    <row r="859" spans="16:16" x14ac:dyDescent="0.3">
      <c r="P859"/>
    </row>
    <row r="860" spans="16:16" x14ac:dyDescent="0.3">
      <c r="P860"/>
    </row>
    <row r="861" spans="16:16" x14ac:dyDescent="0.3">
      <c r="P861"/>
    </row>
    <row r="862" spans="16:16" x14ac:dyDescent="0.3">
      <c r="P862"/>
    </row>
    <row r="863" spans="16:16" x14ac:dyDescent="0.3">
      <c r="P863"/>
    </row>
    <row r="864" spans="16:16" x14ac:dyDescent="0.3">
      <c r="P864"/>
    </row>
    <row r="865" spans="16:16" x14ac:dyDescent="0.3">
      <c r="P865"/>
    </row>
    <row r="866" spans="16:16" x14ac:dyDescent="0.3">
      <c r="P866"/>
    </row>
    <row r="867" spans="16:16" x14ac:dyDescent="0.3">
      <c r="P867"/>
    </row>
    <row r="868" spans="16:16" x14ac:dyDescent="0.3">
      <c r="P868"/>
    </row>
    <row r="869" spans="16:16" x14ac:dyDescent="0.3">
      <c r="P869"/>
    </row>
    <row r="870" spans="16:16" x14ac:dyDescent="0.3">
      <c r="P870"/>
    </row>
    <row r="871" spans="16:16" x14ac:dyDescent="0.3">
      <c r="P871"/>
    </row>
    <row r="872" spans="16:16" x14ac:dyDescent="0.3">
      <c r="P872"/>
    </row>
    <row r="873" spans="16:16" x14ac:dyDescent="0.3">
      <c r="P873"/>
    </row>
    <row r="874" spans="16:16" x14ac:dyDescent="0.3">
      <c r="P874"/>
    </row>
    <row r="875" spans="16:16" x14ac:dyDescent="0.3">
      <c r="P875"/>
    </row>
    <row r="876" spans="16:16" x14ac:dyDescent="0.3">
      <c r="P876"/>
    </row>
    <row r="877" spans="16:16" x14ac:dyDescent="0.3">
      <c r="P877"/>
    </row>
    <row r="878" spans="16:16" x14ac:dyDescent="0.3">
      <c r="P878"/>
    </row>
    <row r="879" spans="16:16" x14ac:dyDescent="0.3">
      <c r="P879"/>
    </row>
    <row r="880" spans="16:16" x14ac:dyDescent="0.3">
      <c r="P880"/>
    </row>
    <row r="881" spans="16:16" x14ac:dyDescent="0.3">
      <c r="P881"/>
    </row>
    <row r="882" spans="16:16" x14ac:dyDescent="0.3">
      <c r="P882"/>
    </row>
    <row r="883" spans="16:16" x14ac:dyDescent="0.3">
      <c r="P883"/>
    </row>
    <row r="884" spans="16:16" x14ac:dyDescent="0.3">
      <c r="P884"/>
    </row>
    <row r="885" spans="16:16" x14ac:dyDescent="0.3">
      <c r="P885"/>
    </row>
    <row r="886" spans="16:16" x14ac:dyDescent="0.3">
      <c r="P886"/>
    </row>
    <row r="887" spans="16:16" x14ac:dyDescent="0.3">
      <c r="P887"/>
    </row>
    <row r="888" spans="16:16" x14ac:dyDescent="0.3">
      <c r="P888"/>
    </row>
    <row r="889" spans="16:16" x14ac:dyDescent="0.3">
      <c r="P889"/>
    </row>
    <row r="890" spans="16:16" x14ac:dyDescent="0.3">
      <c r="P890"/>
    </row>
    <row r="891" spans="16:16" x14ac:dyDescent="0.3">
      <c r="P891"/>
    </row>
    <row r="892" spans="16:16" x14ac:dyDescent="0.3">
      <c r="P892"/>
    </row>
    <row r="893" spans="16:16" x14ac:dyDescent="0.3">
      <c r="P893"/>
    </row>
    <row r="894" spans="16:16" x14ac:dyDescent="0.3">
      <c r="P894"/>
    </row>
    <row r="895" spans="16:16" x14ac:dyDescent="0.3">
      <c r="P895"/>
    </row>
    <row r="896" spans="16:16" x14ac:dyDescent="0.3">
      <c r="P896"/>
    </row>
    <row r="897" spans="16:16" x14ac:dyDescent="0.3">
      <c r="P897"/>
    </row>
    <row r="898" spans="16:16" x14ac:dyDescent="0.3">
      <c r="P898"/>
    </row>
    <row r="899" spans="16:16" x14ac:dyDescent="0.3">
      <c r="P899"/>
    </row>
    <row r="900" spans="16:16" x14ac:dyDescent="0.3">
      <c r="P900"/>
    </row>
    <row r="901" spans="16:16" x14ac:dyDescent="0.3">
      <c r="P901"/>
    </row>
    <row r="902" spans="16:16" x14ac:dyDescent="0.3">
      <c r="P902"/>
    </row>
    <row r="903" spans="16:16" x14ac:dyDescent="0.3">
      <c r="P903"/>
    </row>
    <row r="904" spans="16:16" x14ac:dyDescent="0.3">
      <c r="P904"/>
    </row>
    <row r="905" spans="16:16" x14ac:dyDescent="0.3">
      <c r="P905"/>
    </row>
    <row r="906" spans="16:16" x14ac:dyDescent="0.3">
      <c r="P906"/>
    </row>
    <row r="907" spans="16:16" x14ac:dyDescent="0.3">
      <c r="P907"/>
    </row>
    <row r="908" spans="16:16" x14ac:dyDescent="0.3">
      <c r="P908"/>
    </row>
    <row r="909" spans="16:16" x14ac:dyDescent="0.3">
      <c r="P909"/>
    </row>
    <row r="910" spans="16:16" x14ac:dyDescent="0.3">
      <c r="P910"/>
    </row>
    <row r="911" spans="16:16" x14ac:dyDescent="0.3">
      <c r="P911"/>
    </row>
    <row r="912" spans="16:16" x14ac:dyDescent="0.3">
      <c r="P912"/>
    </row>
    <row r="913" spans="16:16" x14ac:dyDescent="0.3">
      <c r="P913"/>
    </row>
    <row r="914" spans="16:16" x14ac:dyDescent="0.3">
      <c r="P914"/>
    </row>
    <row r="915" spans="16:16" x14ac:dyDescent="0.3">
      <c r="P915"/>
    </row>
    <row r="916" spans="16:16" x14ac:dyDescent="0.3">
      <c r="P916"/>
    </row>
    <row r="917" spans="16:16" x14ac:dyDescent="0.3">
      <c r="P917"/>
    </row>
    <row r="918" spans="16:16" x14ac:dyDescent="0.3">
      <c r="P918"/>
    </row>
    <row r="919" spans="16:16" x14ac:dyDescent="0.3">
      <c r="P919"/>
    </row>
    <row r="920" spans="16:16" x14ac:dyDescent="0.3">
      <c r="P920"/>
    </row>
    <row r="921" spans="16:16" x14ac:dyDescent="0.3">
      <c r="P921"/>
    </row>
    <row r="922" spans="16:16" x14ac:dyDescent="0.3">
      <c r="P922"/>
    </row>
    <row r="923" spans="16:16" x14ac:dyDescent="0.3">
      <c r="P923"/>
    </row>
    <row r="924" spans="16:16" x14ac:dyDescent="0.3">
      <c r="P924"/>
    </row>
    <row r="925" spans="16:16" x14ac:dyDescent="0.3">
      <c r="P925"/>
    </row>
    <row r="926" spans="16:16" x14ac:dyDescent="0.3">
      <c r="P926"/>
    </row>
    <row r="927" spans="16:16" x14ac:dyDescent="0.3">
      <c r="P927"/>
    </row>
    <row r="928" spans="16:16" x14ac:dyDescent="0.3">
      <c r="P928"/>
    </row>
    <row r="929" spans="16:16" x14ac:dyDescent="0.3">
      <c r="P929"/>
    </row>
    <row r="930" spans="16:16" x14ac:dyDescent="0.3">
      <c r="P930"/>
    </row>
    <row r="931" spans="16:16" x14ac:dyDescent="0.3">
      <c r="P931"/>
    </row>
    <row r="932" spans="16:16" x14ac:dyDescent="0.3">
      <c r="P932"/>
    </row>
    <row r="933" spans="16:16" x14ac:dyDescent="0.3">
      <c r="P933"/>
    </row>
    <row r="934" spans="16:16" x14ac:dyDescent="0.3">
      <c r="P934"/>
    </row>
    <row r="935" spans="16:16" x14ac:dyDescent="0.3">
      <c r="P935"/>
    </row>
    <row r="936" spans="16:16" x14ac:dyDescent="0.3">
      <c r="P936"/>
    </row>
    <row r="937" spans="16:16" x14ac:dyDescent="0.3">
      <c r="P937"/>
    </row>
    <row r="938" spans="16:16" x14ac:dyDescent="0.3">
      <c r="P938"/>
    </row>
    <row r="939" spans="16:16" x14ac:dyDescent="0.3">
      <c r="P939"/>
    </row>
    <row r="940" spans="16:16" x14ac:dyDescent="0.3">
      <c r="P940"/>
    </row>
    <row r="941" spans="16:16" x14ac:dyDescent="0.3">
      <c r="P941"/>
    </row>
    <row r="942" spans="16:16" x14ac:dyDescent="0.3">
      <c r="P942"/>
    </row>
    <row r="943" spans="16:16" x14ac:dyDescent="0.3">
      <c r="P943"/>
    </row>
    <row r="944" spans="16:16" x14ac:dyDescent="0.3">
      <c r="P944"/>
    </row>
    <row r="945" spans="16:16" x14ac:dyDescent="0.3">
      <c r="P945"/>
    </row>
    <row r="946" spans="16:16" x14ac:dyDescent="0.3">
      <c r="P946"/>
    </row>
    <row r="947" spans="16:16" x14ac:dyDescent="0.3">
      <c r="P947"/>
    </row>
    <row r="948" spans="16:16" x14ac:dyDescent="0.3">
      <c r="P948"/>
    </row>
    <row r="949" spans="16:16" x14ac:dyDescent="0.3">
      <c r="P949"/>
    </row>
    <row r="950" spans="16:16" x14ac:dyDescent="0.3">
      <c r="P950"/>
    </row>
    <row r="951" spans="16:16" x14ac:dyDescent="0.3">
      <c r="P951"/>
    </row>
    <row r="952" spans="16:16" x14ac:dyDescent="0.3">
      <c r="P952"/>
    </row>
    <row r="953" spans="16:16" x14ac:dyDescent="0.3">
      <c r="P953"/>
    </row>
    <row r="954" spans="16:16" x14ac:dyDescent="0.3">
      <c r="P954"/>
    </row>
    <row r="955" spans="16:16" x14ac:dyDescent="0.3">
      <c r="P955"/>
    </row>
    <row r="956" spans="16:16" x14ac:dyDescent="0.3">
      <c r="P956"/>
    </row>
    <row r="957" spans="16:16" x14ac:dyDescent="0.3">
      <c r="P957"/>
    </row>
    <row r="958" spans="16:16" x14ac:dyDescent="0.3">
      <c r="P958"/>
    </row>
    <row r="959" spans="16:16" x14ac:dyDescent="0.3">
      <c r="P959"/>
    </row>
    <row r="960" spans="16:16" x14ac:dyDescent="0.3">
      <c r="P960"/>
    </row>
    <row r="961" spans="16:16" x14ac:dyDescent="0.3">
      <c r="P961"/>
    </row>
    <row r="962" spans="16:16" x14ac:dyDescent="0.3">
      <c r="P962"/>
    </row>
    <row r="963" spans="16:16" x14ac:dyDescent="0.3">
      <c r="P963"/>
    </row>
    <row r="964" spans="16:16" x14ac:dyDescent="0.3">
      <c r="P964"/>
    </row>
    <row r="965" spans="16:16" x14ac:dyDescent="0.3">
      <c r="P965"/>
    </row>
    <row r="966" spans="16:16" x14ac:dyDescent="0.3">
      <c r="P966"/>
    </row>
    <row r="967" spans="16:16" x14ac:dyDescent="0.3">
      <c r="P967"/>
    </row>
    <row r="968" spans="16:16" x14ac:dyDescent="0.3">
      <c r="P968"/>
    </row>
    <row r="969" spans="16:16" x14ac:dyDescent="0.3">
      <c r="P969"/>
    </row>
    <row r="970" spans="16:16" x14ac:dyDescent="0.3">
      <c r="P970"/>
    </row>
    <row r="971" spans="16:16" x14ac:dyDescent="0.3">
      <c r="P971"/>
    </row>
    <row r="972" spans="16:16" x14ac:dyDescent="0.3">
      <c r="P972"/>
    </row>
    <row r="973" spans="16:16" x14ac:dyDescent="0.3">
      <c r="P973"/>
    </row>
    <row r="974" spans="16:16" x14ac:dyDescent="0.3">
      <c r="P974"/>
    </row>
    <row r="975" spans="16:16" x14ac:dyDescent="0.3">
      <c r="P975"/>
    </row>
    <row r="976" spans="16:16" x14ac:dyDescent="0.3">
      <c r="P976"/>
    </row>
    <row r="977" spans="16:16" x14ac:dyDescent="0.3">
      <c r="P977"/>
    </row>
    <row r="978" spans="16:16" x14ac:dyDescent="0.3">
      <c r="P978"/>
    </row>
    <row r="979" spans="16:16" x14ac:dyDescent="0.3">
      <c r="P979"/>
    </row>
    <row r="980" spans="16:16" x14ac:dyDescent="0.3">
      <c r="P980"/>
    </row>
    <row r="981" spans="16:16" x14ac:dyDescent="0.3">
      <c r="P981"/>
    </row>
    <row r="982" spans="16:16" x14ac:dyDescent="0.3">
      <c r="P982"/>
    </row>
    <row r="983" spans="16:16" x14ac:dyDescent="0.3">
      <c r="P983"/>
    </row>
    <row r="984" spans="16:16" x14ac:dyDescent="0.3">
      <c r="P984"/>
    </row>
    <row r="985" spans="16:16" x14ac:dyDescent="0.3">
      <c r="P985"/>
    </row>
    <row r="986" spans="16:16" x14ac:dyDescent="0.3">
      <c r="P986"/>
    </row>
    <row r="987" spans="16:16" x14ac:dyDescent="0.3">
      <c r="P987"/>
    </row>
    <row r="988" spans="16:16" x14ac:dyDescent="0.3">
      <c r="P988"/>
    </row>
    <row r="989" spans="16:16" x14ac:dyDescent="0.3">
      <c r="P989"/>
    </row>
    <row r="990" spans="16:16" x14ac:dyDescent="0.3">
      <c r="P990"/>
    </row>
    <row r="991" spans="16:16" x14ac:dyDescent="0.3">
      <c r="P991"/>
    </row>
    <row r="992" spans="16:16" x14ac:dyDescent="0.3">
      <c r="P992"/>
    </row>
    <row r="993" spans="16:16" x14ac:dyDescent="0.3">
      <c r="P993"/>
    </row>
    <row r="994" spans="16:16" x14ac:dyDescent="0.3">
      <c r="P994"/>
    </row>
    <row r="995" spans="16:16" x14ac:dyDescent="0.3">
      <c r="P995"/>
    </row>
    <row r="996" spans="16:16" x14ac:dyDescent="0.3">
      <c r="P996"/>
    </row>
    <row r="997" spans="16:16" x14ac:dyDescent="0.3">
      <c r="P997"/>
    </row>
    <row r="998" spans="16:16" x14ac:dyDescent="0.3">
      <c r="P998"/>
    </row>
    <row r="999" spans="16:16" x14ac:dyDescent="0.3">
      <c r="P999"/>
    </row>
    <row r="1000" spans="16:16" x14ac:dyDescent="0.3">
      <c r="P1000"/>
    </row>
    <row r="1001" spans="16:16" x14ac:dyDescent="0.3">
      <c r="P1001"/>
    </row>
    <row r="1002" spans="16:16" x14ac:dyDescent="0.3">
      <c r="P1002"/>
    </row>
    <row r="1003" spans="16:16" x14ac:dyDescent="0.3">
      <c r="P1003"/>
    </row>
    <row r="1004" spans="16:16" x14ac:dyDescent="0.3">
      <c r="P1004"/>
    </row>
    <row r="1005" spans="16:16" x14ac:dyDescent="0.3">
      <c r="P1005"/>
    </row>
    <row r="1006" spans="16:16" x14ac:dyDescent="0.3">
      <c r="P1006"/>
    </row>
    <row r="1007" spans="16:16" x14ac:dyDescent="0.3">
      <c r="P1007"/>
    </row>
    <row r="1008" spans="16:16" x14ac:dyDescent="0.3">
      <c r="P1008"/>
    </row>
    <row r="1009" spans="16:16" x14ac:dyDescent="0.3">
      <c r="P1009"/>
    </row>
    <row r="1010" spans="16:16" x14ac:dyDescent="0.3">
      <c r="P1010"/>
    </row>
    <row r="1011" spans="16:16" x14ac:dyDescent="0.3">
      <c r="P1011"/>
    </row>
    <row r="1012" spans="16:16" x14ac:dyDescent="0.3">
      <c r="P1012"/>
    </row>
    <row r="1013" spans="16:16" x14ac:dyDescent="0.3">
      <c r="P1013"/>
    </row>
    <row r="1014" spans="16:16" x14ac:dyDescent="0.3">
      <c r="P1014"/>
    </row>
    <row r="1015" spans="16:16" x14ac:dyDescent="0.3">
      <c r="P1015"/>
    </row>
    <row r="1016" spans="16:16" x14ac:dyDescent="0.3">
      <c r="P1016"/>
    </row>
    <row r="1017" spans="16:16" x14ac:dyDescent="0.3">
      <c r="P1017"/>
    </row>
    <row r="1018" spans="16:16" x14ac:dyDescent="0.3">
      <c r="P1018"/>
    </row>
    <row r="1019" spans="16:16" x14ac:dyDescent="0.3">
      <c r="P1019"/>
    </row>
    <row r="1020" spans="16:16" x14ac:dyDescent="0.3">
      <c r="P1020"/>
    </row>
    <row r="1021" spans="16:16" x14ac:dyDescent="0.3">
      <c r="P1021"/>
    </row>
    <row r="1022" spans="16:16" x14ac:dyDescent="0.3">
      <c r="P1022"/>
    </row>
    <row r="1023" spans="16:16" x14ac:dyDescent="0.3">
      <c r="P1023"/>
    </row>
    <row r="1024" spans="16:16" x14ac:dyDescent="0.3">
      <c r="P1024"/>
    </row>
    <row r="1025" spans="16:16" x14ac:dyDescent="0.3">
      <c r="P1025"/>
    </row>
    <row r="1026" spans="16:16" x14ac:dyDescent="0.3">
      <c r="P1026"/>
    </row>
    <row r="1027" spans="16:16" x14ac:dyDescent="0.3">
      <c r="P1027"/>
    </row>
    <row r="1028" spans="16:16" x14ac:dyDescent="0.3">
      <c r="P1028"/>
    </row>
    <row r="1029" spans="16:16" x14ac:dyDescent="0.3">
      <c r="P1029"/>
    </row>
    <row r="1030" spans="16:16" x14ac:dyDescent="0.3">
      <c r="P1030"/>
    </row>
    <row r="1031" spans="16:16" x14ac:dyDescent="0.3">
      <c r="P1031"/>
    </row>
    <row r="1032" spans="16:16" x14ac:dyDescent="0.3">
      <c r="P1032"/>
    </row>
    <row r="1033" spans="16:16" x14ac:dyDescent="0.3">
      <c r="P1033"/>
    </row>
    <row r="1034" spans="16:16" x14ac:dyDescent="0.3">
      <c r="P1034"/>
    </row>
    <row r="1035" spans="16:16" x14ac:dyDescent="0.3">
      <c r="P1035"/>
    </row>
    <row r="1036" spans="16:16" x14ac:dyDescent="0.3">
      <c r="P1036"/>
    </row>
    <row r="1037" spans="16:16" x14ac:dyDescent="0.3">
      <c r="P1037"/>
    </row>
    <row r="1038" spans="16:16" x14ac:dyDescent="0.3">
      <c r="P1038"/>
    </row>
    <row r="1039" spans="16:16" x14ac:dyDescent="0.3">
      <c r="P1039"/>
    </row>
    <row r="1040" spans="16:16" x14ac:dyDescent="0.3">
      <c r="P1040"/>
    </row>
    <row r="1041" spans="16:16" x14ac:dyDescent="0.3">
      <c r="P1041"/>
    </row>
    <row r="1042" spans="16:16" x14ac:dyDescent="0.3">
      <c r="P1042"/>
    </row>
    <row r="1043" spans="16:16" x14ac:dyDescent="0.3">
      <c r="P1043"/>
    </row>
    <row r="1044" spans="16:16" x14ac:dyDescent="0.3">
      <c r="P1044"/>
    </row>
    <row r="1045" spans="16:16" x14ac:dyDescent="0.3">
      <c r="P1045"/>
    </row>
    <row r="1046" spans="16:16" x14ac:dyDescent="0.3">
      <c r="P1046"/>
    </row>
    <row r="1047" spans="16:16" x14ac:dyDescent="0.3">
      <c r="P1047"/>
    </row>
    <row r="1048" spans="16:16" x14ac:dyDescent="0.3">
      <c r="P1048"/>
    </row>
    <row r="1049" spans="16:16" x14ac:dyDescent="0.3">
      <c r="P1049"/>
    </row>
    <row r="1050" spans="16:16" x14ac:dyDescent="0.3">
      <c r="P1050"/>
    </row>
    <row r="1051" spans="16:16" x14ac:dyDescent="0.3">
      <c r="P1051"/>
    </row>
    <row r="1052" spans="16:16" x14ac:dyDescent="0.3">
      <c r="P1052"/>
    </row>
    <row r="1053" spans="16:16" x14ac:dyDescent="0.3">
      <c r="P1053"/>
    </row>
    <row r="1054" spans="16:16" x14ac:dyDescent="0.3">
      <c r="P1054"/>
    </row>
    <row r="1055" spans="16:16" x14ac:dyDescent="0.3">
      <c r="P1055"/>
    </row>
    <row r="1056" spans="16:16" x14ac:dyDescent="0.3">
      <c r="P1056"/>
    </row>
    <row r="1057" spans="16:16" x14ac:dyDescent="0.3">
      <c r="P1057"/>
    </row>
    <row r="1058" spans="16:16" x14ac:dyDescent="0.3">
      <c r="P1058"/>
    </row>
    <row r="1059" spans="16:16" x14ac:dyDescent="0.3">
      <c r="P1059"/>
    </row>
    <row r="1060" spans="16:16" x14ac:dyDescent="0.3">
      <c r="P1060"/>
    </row>
    <row r="1061" spans="16:16" x14ac:dyDescent="0.3">
      <c r="P1061"/>
    </row>
    <row r="1062" spans="16:16" x14ac:dyDescent="0.3">
      <c r="P1062"/>
    </row>
    <row r="1063" spans="16:16" x14ac:dyDescent="0.3">
      <c r="P1063"/>
    </row>
    <row r="1064" spans="16:16" x14ac:dyDescent="0.3">
      <c r="P1064"/>
    </row>
    <row r="1065" spans="16:16" x14ac:dyDescent="0.3">
      <c r="P1065"/>
    </row>
    <row r="1066" spans="16:16" x14ac:dyDescent="0.3">
      <c r="P1066"/>
    </row>
    <row r="1067" spans="16:16" x14ac:dyDescent="0.3">
      <c r="P1067"/>
    </row>
    <row r="1068" spans="16:16" x14ac:dyDescent="0.3">
      <c r="P1068"/>
    </row>
    <row r="1069" spans="16:16" x14ac:dyDescent="0.3">
      <c r="P1069"/>
    </row>
    <row r="1070" spans="16:16" x14ac:dyDescent="0.3">
      <c r="P1070"/>
    </row>
    <row r="1071" spans="16:16" x14ac:dyDescent="0.3">
      <c r="P1071"/>
    </row>
    <row r="1072" spans="16:16" x14ac:dyDescent="0.3">
      <c r="P1072"/>
    </row>
    <row r="1073" spans="16:16" x14ac:dyDescent="0.3">
      <c r="P1073"/>
    </row>
    <row r="1074" spans="16:16" x14ac:dyDescent="0.3">
      <c r="P1074"/>
    </row>
    <row r="1075" spans="16:16" x14ac:dyDescent="0.3">
      <c r="P1075"/>
    </row>
    <row r="1076" spans="16:16" x14ac:dyDescent="0.3">
      <c r="P1076"/>
    </row>
    <row r="1077" spans="16:16" x14ac:dyDescent="0.3">
      <c r="P1077"/>
    </row>
    <row r="1078" spans="16:16" x14ac:dyDescent="0.3">
      <c r="P1078"/>
    </row>
    <row r="1079" spans="16:16" x14ac:dyDescent="0.3">
      <c r="P1079"/>
    </row>
    <row r="1080" spans="16:16" x14ac:dyDescent="0.3">
      <c r="P1080"/>
    </row>
    <row r="1081" spans="16:16" x14ac:dyDescent="0.3">
      <c r="P1081"/>
    </row>
    <row r="1082" spans="16:16" x14ac:dyDescent="0.3">
      <c r="P1082"/>
    </row>
    <row r="1083" spans="16:16" x14ac:dyDescent="0.3">
      <c r="P1083"/>
    </row>
    <row r="1084" spans="16:16" x14ac:dyDescent="0.3">
      <c r="P1084"/>
    </row>
    <row r="1085" spans="16:16" x14ac:dyDescent="0.3">
      <c r="P1085"/>
    </row>
    <row r="1086" spans="16:16" x14ac:dyDescent="0.3">
      <c r="P1086"/>
    </row>
    <row r="1087" spans="16:16" x14ac:dyDescent="0.3">
      <c r="P1087"/>
    </row>
    <row r="1088" spans="16:16" x14ac:dyDescent="0.3">
      <c r="P1088"/>
    </row>
    <row r="1089" spans="16:16" x14ac:dyDescent="0.3">
      <c r="P1089"/>
    </row>
    <row r="1090" spans="16:16" x14ac:dyDescent="0.3">
      <c r="P1090"/>
    </row>
    <row r="1091" spans="16:16" x14ac:dyDescent="0.3">
      <c r="P1091"/>
    </row>
    <row r="1092" spans="16:16" x14ac:dyDescent="0.3">
      <c r="P1092"/>
    </row>
    <row r="1093" spans="16:16" x14ac:dyDescent="0.3">
      <c r="P1093"/>
    </row>
    <row r="1094" spans="16:16" x14ac:dyDescent="0.3">
      <c r="P1094"/>
    </row>
    <row r="1095" spans="16:16" x14ac:dyDescent="0.3">
      <c r="P1095"/>
    </row>
    <row r="1096" spans="16:16" x14ac:dyDescent="0.3">
      <c r="P1096"/>
    </row>
    <row r="1097" spans="16:16" x14ac:dyDescent="0.3">
      <c r="P1097"/>
    </row>
    <row r="1098" spans="16:16" x14ac:dyDescent="0.3">
      <c r="P1098"/>
    </row>
    <row r="1099" spans="16:16" x14ac:dyDescent="0.3">
      <c r="P1099"/>
    </row>
    <row r="1100" spans="16:16" x14ac:dyDescent="0.3">
      <c r="P1100"/>
    </row>
    <row r="1101" spans="16:16" x14ac:dyDescent="0.3">
      <c r="P1101"/>
    </row>
    <row r="1102" spans="16:16" x14ac:dyDescent="0.3">
      <c r="P1102"/>
    </row>
    <row r="1103" spans="16:16" x14ac:dyDescent="0.3">
      <c r="P1103"/>
    </row>
    <row r="1104" spans="16:16" x14ac:dyDescent="0.3">
      <c r="P1104"/>
    </row>
    <row r="1105" spans="16:16" x14ac:dyDescent="0.3">
      <c r="P1105"/>
    </row>
    <row r="1106" spans="16:16" x14ac:dyDescent="0.3">
      <c r="P1106"/>
    </row>
    <row r="1107" spans="16:16" x14ac:dyDescent="0.3">
      <c r="P1107"/>
    </row>
    <row r="1108" spans="16:16" x14ac:dyDescent="0.3">
      <c r="P1108"/>
    </row>
    <row r="1109" spans="16:16" x14ac:dyDescent="0.3">
      <c r="P1109"/>
    </row>
    <row r="1110" spans="16:16" x14ac:dyDescent="0.3">
      <c r="P1110"/>
    </row>
    <row r="1111" spans="16:16" x14ac:dyDescent="0.3">
      <c r="P1111"/>
    </row>
    <row r="1112" spans="16:16" x14ac:dyDescent="0.3">
      <c r="P1112"/>
    </row>
    <row r="1113" spans="16:16" x14ac:dyDescent="0.3">
      <c r="P1113"/>
    </row>
    <row r="1114" spans="16:16" x14ac:dyDescent="0.3">
      <c r="P1114"/>
    </row>
    <row r="1115" spans="16:16" x14ac:dyDescent="0.3">
      <c r="P1115"/>
    </row>
    <row r="1116" spans="16:16" x14ac:dyDescent="0.3">
      <c r="P1116"/>
    </row>
    <row r="1117" spans="16:16" x14ac:dyDescent="0.3">
      <c r="P1117"/>
    </row>
    <row r="1118" spans="16:16" x14ac:dyDescent="0.3">
      <c r="P1118"/>
    </row>
    <row r="1119" spans="16:16" x14ac:dyDescent="0.3">
      <c r="P1119"/>
    </row>
    <row r="1120" spans="16:16" x14ac:dyDescent="0.3">
      <c r="P1120"/>
    </row>
    <row r="1121" spans="16:16" x14ac:dyDescent="0.3">
      <c r="P1121"/>
    </row>
    <row r="1122" spans="16:16" x14ac:dyDescent="0.3">
      <c r="P1122"/>
    </row>
    <row r="1123" spans="16:16" x14ac:dyDescent="0.3">
      <c r="P1123"/>
    </row>
    <row r="1124" spans="16:16" x14ac:dyDescent="0.3">
      <c r="P1124"/>
    </row>
    <row r="1125" spans="16:16" x14ac:dyDescent="0.3">
      <c r="P1125"/>
    </row>
    <row r="1126" spans="16:16" x14ac:dyDescent="0.3">
      <c r="P1126"/>
    </row>
    <row r="1127" spans="16:16" x14ac:dyDescent="0.3">
      <c r="P1127"/>
    </row>
    <row r="1128" spans="16:16" x14ac:dyDescent="0.3">
      <c r="P1128"/>
    </row>
    <row r="1129" spans="16:16" x14ac:dyDescent="0.3">
      <c r="P1129"/>
    </row>
    <row r="1130" spans="16:16" x14ac:dyDescent="0.3">
      <c r="P1130"/>
    </row>
    <row r="1131" spans="16:16" x14ac:dyDescent="0.3">
      <c r="P1131"/>
    </row>
    <row r="1132" spans="16:16" x14ac:dyDescent="0.3">
      <c r="P1132"/>
    </row>
    <row r="1133" spans="16:16" x14ac:dyDescent="0.3">
      <c r="P1133"/>
    </row>
    <row r="1134" spans="16:16" x14ac:dyDescent="0.3">
      <c r="P1134"/>
    </row>
    <row r="1135" spans="16:16" x14ac:dyDescent="0.3">
      <c r="P1135"/>
    </row>
    <row r="1136" spans="16:16" x14ac:dyDescent="0.3">
      <c r="P1136"/>
    </row>
    <row r="1137" spans="16:16" x14ac:dyDescent="0.3">
      <c r="P1137"/>
    </row>
    <row r="1138" spans="16:16" x14ac:dyDescent="0.3">
      <c r="P1138"/>
    </row>
    <row r="1139" spans="16:16" x14ac:dyDescent="0.3">
      <c r="P1139"/>
    </row>
    <row r="1140" spans="16:16" x14ac:dyDescent="0.3">
      <c r="P1140"/>
    </row>
    <row r="1141" spans="16:16" x14ac:dyDescent="0.3">
      <c r="P1141"/>
    </row>
    <row r="1142" spans="16:16" x14ac:dyDescent="0.3">
      <c r="P1142"/>
    </row>
    <row r="1143" spans="16:16" x14ac:dyDescent="0.3">
      <c r="P1143"/>
    </row>
    <row r="1144" spans="16:16" x14ac:dyDescent="0.3">
      <c r="P1144"/>
    </row>
    <row r="1145" spans="16:16" x14ac:dyDescent="0.3">
      <c r="P1145"/>
    </row>
    <row r="1146" spans="16:16" x14ac:dyDescent="0.3">
      <c r="P1146"/>
    </row>
    <row r="1147" spans="16:16" x14ac:dyDescent="0.3">
      <c r="P1147"/>
    </row>
    <row r="1148" spans="16:16" x14ac:dyDescent="0.3">
      <c r="P1148"/>
    </row>
    <row r="1149" spans="16:16" x14ac:dyDescent="0.3">
      <c r="P1149"/>
    </row>
    <row r="1150" spans="16:16" x14ac:dyDescent="0.3">
      <c r="P1150"/>
    </row>
    <row r="1151" spans="16:16" x14ac:dyDescent="0.3">
      <c r="P1151"/>
    </row>
    <row r="1152" spans="16:16" x14ac:dyDescent="0.3">
      <c r="P1152"/>
    </row>
    <row r="1153" spans="16:16" x14ac:dyDescent="0.3">
      <c r="P1153"/>
    </row>
    <row r="1154" spans="16:16" x14ac:dyDescent="0.3">
      <c r="P1154"/>
    </row>
    <row r="1155" spans="16:16" x14ac:dyDescent="0.3">
      <c r="P1155"/>
    </row>
    <row r="1156" spans="16:16" x14ac:dyDescent="0.3">
      <c r="P1156"/>
    </row>
    <row r="1157" spans="16:16" x14ac:dyDescent="0.3">
      <c r="P1157"/>
    </row>
    <row r="1158" spans="16:16" x14ac:dyDescent="0.3">
      <c r="P1158"/>
    </row>
    <row r="1159" spans="16:16" x14ac:dyDescent="0.3">
      <c r="P1159"/>
    </row>
    <row r="1160" spans="16:16" x14ac:dyDescent="0.3">
      <c r="P1160"/>
    </row>
    <row r="1161" spans="16:16" x14ac:dyDescent="0.3">
      <c r="P1161"/>
    </row>
    <row r="1162" spans="16:16" x14ac:dyDescent="0.3">
      <c r="P1162"/>
    </row>
    <row r="1163" spans="16:16" x14ac:dyDescent="0.3">
      <c r="P1163"/>
    </row>
    <row r="1164" spans="16:16" x14ac:dyDescent="0.3">
      <c r="P1164"/>
    </row>
    <row r="1165" spans="16:16" x14ac:dyDescent="0.3">
      <c r="P1165"/>
    </row>
    <row r="1166" spans="16:16" x14ac:dyDescent="0.3">
      <c r="P1166"/>
    </row>
    <row r="1167" spans="16:16" x14ac:dyDescent="0.3">
      <c r="P1167"/>
    </row>
    <row r="1168" spans="16:16" x14ac:dyDescent="0.3">
      <c r="P1168"/>
    </row>
    <row r="1169" spans="16:16" x14ac:dyDescent="0.3">
      <c r="P1169"/>
    </row>
    <row r="1170" spans="16:16" x14ac:dyDescent="0.3">
      <c r="P1170"/>
    </row>
    <row r="1171" spans="16:16" x14ac:dyDescent="0.3">
      <c r="P1171"/>
    </row>
    <row r="1172" spans="16:16" x14ac:dyDescent="0.3">
      <c r="P1172"/>
    </row>
    <row r="1173" spans="16:16" x14ac:dyDescent="0.3">
      <c r="P1173"/>
    </row>
    <row r="1174" spans="16:16" x14ac:dyDescent="0.3">
      <c r="P1174"/>
    </row>
    <row r="1175" spans="16:16" x14ac:dyDescent="0.3">
      <c r="P1175"/>
    </row>
    <row r="1176" spans="16:16" x14ac:dyDescent="0.3">
      <c r="P1176"/>
    </row>
    <row r="1177" spans="16:16" x14ac:dyDescent="0.3">
      <c r="P1177"/>
    </row>
    <row r="1178" spans="16:16" x14ac:dyDescent="0.3">
      <c r="P1178"/>
    </row>
    <row r="1179" spans="16:16" x14ac:dyDescent="0.3">
      <c r="P1179"/>
    </row>
    <row r="1180" spans="16:16" x14ac:dyDescent="0.3">
      <c r="P1180"/>
    </row>
    <row r="1181" spans="16:16" x14ac:dyDescent="0.3">
      <c r="P1181"/>
    </row>
    <row r="1182" spans="16:16" x14ac:dyDescent="0.3">
      <c r="P1182"/>
    </row>
    <row r="1183" spans="16:16" x14ac:dyDescent="0.3">
      <c r="P1183"/>
    </row>
    <row r="1184" spans="16:16" x14ac:dyDescent="0.3">
      <c r="P1184"/>
    </row>
    <row r="1185" spans="16:16" x14ac:dyDescent="0.3">
      <c r="P1185"/>
    </row>
    <row r="1186" spans="16:16" x14ac:dyDescent="0.3">
      <c r="P1186"/>
    </row>
    <row r="1187" spans="16:16" x14ac:dyDescent="0.3">
      <c r="P1187"/>
    </row>
    <row r="1188" spans="16:16" x14ac:dyDescent="0.3">
      <c r="P1188"/>
    </row>
    <row r="1189" spans="16:16" x14ac:dyDescent="0.3">
      <c r="P1189"/>
    </row>
    <row r="1190" spans="16:16" x14ac:dyDescent="0.3">
      <c r="P1190"/>
    </row>
    <row r="1191" spans="16:16" x14ac:dyDescent="0.3">
      <c r="P1191"/>
    </row>
    <row r="1192" spans="16:16" x14ac:dyDescent="0.3">
      <c r="P1192"/>
    </row>
    <row r="1193" spans="16:16" x14ac:dyDescent="0.3">
      <c r="P1193"/>
    </row>
    <row r="1194" spans="16:16" x14ac:dyDescent="0.3">
      <c r="P1194"/>
    </row>
    <row r="1195" spans="16:16" x14ac:dyDescent="0.3">
      <c r="P1195"/>
    </row>
    <row r="1196" spans="16:16" x14ac:dyDescent="0.3">
      <c r="P1196"/>
    </row>
    <row r="1197" spans="16:16" x14ac:dyDescent="0.3">
      <c r="P1197"/>
    </row>
    <row r="1198" spans="16:16" x14ac:dyDescent="0.3">
      <c r="P1198"/>
    </row>
    <row r="1199" spans="16:16" x14ac:dyDescent="0.3">
      <c r="P1199"/>
    </row>
    <row r="1200" spans="16:16" x14ac:dyDescent="0.3">
      <c r="P1200"/>
    </row>
    <row r="1201" spans="16:16" x14ac:dyDescent="0.3">
      <c r="P1201"/>
    </row>
    <row r="1202" spans="16:16" x14ac:dyDescent="0.3">
      <c r="P1202"/>
    </row>
    <row r="1203" spans="16:16" x14ac:dyDescent="0.3">
      <c r="P1203"/>
    </row>
    <row r="1204" spans="16:16" x14ac:dyDescent="0.3">
      <c r="P1204"/>
    </row>
    <row r="1205" spans="16:16" x14ac:dyDescent="0.3">
      <c r="P1205"/>
    </row>
    <row r="1206" spans="16:16" x14ac:dyDescent="0.3">
      <c r="P1206"/>
    </row>
    <row r="1207" spans="16:16" x14ac:dyDescent="0.3">
      <c r="P1207"/>
    </row>
    <row r="1208" spans="16:16" x14ac:dyDescent="0.3">
      <c r="P1208"/>
    </row>
    <row r="1209" spans="16:16" x14ac:dyDescent="0.3">
      <c r="P1209"/>
    </row>
    <row r="1210" spans="16:16" x14ac:dyDescent="0.3">
      <c r="P1210"/>
    </row>
    <row r="1211" spans="16:16" x14ac:dyDescent="0.3">
      <c r="P1211"/>
    </row>
    <row r="1212" spans="16:16" x14ac:dyDescent="0.3">
      <c r="P1212"/>
    </row>
    <row r="1213" spans="16:16" x14ac:dyDescent="0.3">
      <c r="P1213"/>
    </row>
    <row r="1214" spans="16:16" x14ac:dyDescent="0.3">
      <c r="P1214"/>
    </row>
    <row r="1215" spans="16:16" x14ac:dyDescent="0.3">
      <c r="P1215"/>
    </row>
    <row r="1216" spans="16:16" x14ac:dyDescent="0.3">
      <c r="P1216"/>
    </row>
    <row r="1217" spans="16:16" x14ac:dyDescent="0.3">
      <c r="P1217"/>
    </row>
    <row r="1218" spans="16:16" x14ac:dyDescent="0.3">
      <c r="P1218"/>
    </row>
    <row r="1219" spans="16:16" x14ac:dyDescent="0.3">
      <c r="P1219"/>
    </row>
    <row r="1220" spans="16:16" x14ac:dyDescent="0.3">
      <c r="P1220"/>
    </row>
    <row r="1221" spans="16:16" x14ac:dyDescent="0.3">
      <c r="P1221"/>
    </row>
    <row r="1222" spans="16:16" x14ac:dyDescent="0.3">
      <c r="P1222"/>
    </row>
    <row r="1223" spans="16:16" x14ac:dyDescent="0.3">
      <c r="P1223"/>
    </row>
    <row r="1224" spans="16:16" x14ac:dyDescent="0.3">
      <c r="P1224"/>
    </row>
    <row r="1225" spans="16:16" x14ac:dyDescent="0.3">
      <c r="P1225"/>
    </row>
    <row r="1226" spans="16:16" x14ac:dyDescent="0.3">
      <c r="P1226"/>
    </row>
    <row r="1227" spans="16:16" x14ac:dyDescent="0.3">
      <c r="P1227"/>
    </row>
    <row r="1228" spans="16:16" x14ac:dyDescent="0.3">
      <c r="P1228"/>
    </row>
    <row r="1229" spans="16:16" x14ac:dyDescent="0.3">
      <c r="P1229"/>
    </row>
    <row r="1230" spans="16:16" x14ac:dyDescent="0.3">
      <c r="P1230"/>
    </row>
    <row r="1231" spans="16:16" x14ac:dyDescent="0.3">
      <c r="P1231"/>
    </row>
    <row r="1232" spans="16:16" x14ac:dyDescent="0.3">
      <c r="P1232"/>
    </row>
    <row r="1233" spans="16:16" x14ac:dyDescent="0.3">
      <c r="P1233"/>
    </row>
    <row r="1234" spans="16:16" x14ac:dyDescent="0.3">
      <c r="P1234"/>
    </row>
    <row r="1235" spans="16:16" x14ac:dyDescent="0.3">
      <c r="P1235"/>
    </row>
    <row r="1236" spans="16:16" x14ac:dyDescent="0.3">
      <c r="P1236"/>
    </row>
    <row r="1237" spans="16:16" x14ac:dyDescent="0.3">
      <c r="P1237"/>
    </row>
    <row r="1238" spans="16:16" x14ac:dyDescent="0.3">
      <c r="P1238"/>
    </row>
    <row r="1239" spans="16:16" x14ac:dyDescent="0.3">
      <c r="P1239"/>
    </row>
    <row r="1240" spans="16:16" x14ac:dyDescent="0.3">
      <c r="P1240"/>
    </row>
    <row r="1241" spans="16:16" x14ac:dyDescent="0.3">
      <c r="P1241"/>
    </row>
    <row r="1242" spans="16:16" x14ac:dyDescent="0.3">
      <c r="P1242"/>
    </row>
    <row r="1243" spans="16:16" x14ac:dyDescent="0.3">
      <c r="P1243"/>
    </row>
    <row r="1244" spans="16:16" x14ac:dyDescent="0.3">
      <c r="P1244"/>
    </row>
    <row r="1245" spans="16:16" x14ac:dyDescent="0.3">
      <c r="P1245"/>
    </row>
    <row r="1246" spans="16:16" x14ac:dyDescent="0.3">
      <c r="P1246"/>
    </row>
    <row r="1247" spans="16:16" x14ac:dyDescent="0.3">
      <c r="P1247"/>
    </row>
    <row r="1248" spans="16:16" x14ac:dyDescent="0.3">
      <c r="P1248"/>
    </row>
    <row r="1249" spans="16:16" x14ac:dyDescent="0.3">
      <c r="P1249"/>
    </row>
    <row r="1250" spans="16:16" x14ac:dyDescent="0.3">
      <c r="P1250"/>
    </row>
    <row r="1251" spans="16:16" x14ac:dyDescent="0.3">
      <c r="P1251"/>
    </row>
    <row r="1252" spans="16:16" x14ac:dyDescent="0.3">
      <c r="P1252"/>
    </row>
    <row r="1253" spans="16:16" x14ac:dyDescent="0.3">
      <c r="P1253"/>
    </row>
    <row r="1254" spans="16:16" x14ac:dyDescent="0.3">
      <c r="P1254"/>
    </row>
    <row r="1255" spans="16:16" x14ac:dyDescent="0.3">
      <c r="P1255"/>
    </row>
    <row r="1256" spans="16:16" x14ac:dyDescent="0.3">
      <c r="P1256"/>
    </row>
    <row r="1257" spans="16:16" x14ac:dyDescent="0.3">
      <c r="P1257"/>
    </row>
    <row r="1258" spans="16:16" x14ac:dyDescent="0.3">
      <c r="P1258"/>
    </row>
    <row r="1259" spans="16:16" x14ac:dyDescent="0.3">
      <c r="P1259"/>
    </row>
    <row r="1260" spans="16:16" x14ac:dyDescent="0.3">
      <c r="P1260"/>
    </row>
    <row r="1261" spans="16:16" x14ac:dyDescent="0.3">
      <c r="P1261"/>
    </row>
    <row r="1262" spans="16:16" x14ac:dyDescent="0.3">
      <c r="P1262"/>
    </row>
    <row r="1263" spans="16:16" x14ac:dyDescent="0.3">
      <c r="P1263"/>
    </row>
    <row r="1264" spans="16:16" x14ac:dyDescent="0.3">
      <c r="P1264"/>
    </row>
    <row r="1265" spans="16:16" x14ac:dyDescent="0.3">
      <c r="P1265"/>
    </row>
    <row r="1266" spans="16:16" x14ac:dyDescent="0.3">
      <c r="P1266"/>
    </row>
    <row r="1267" spans="16:16" x14ac:dyDescent="0.3">
      <c r="P1267"/>
    </row>
    <row r="1268" spans="16:16" x14ac:dyDescent="0.3">
      <c r="P1268"/>
    </row>
    <row r="1269" spans="16:16" x14ac:dyDescent="0.3">
      <c r="P1269"/>
    </row>
    <row r="1270" spans="16:16" x14ac:dyDescent="0.3">
      <c r="P1270"/>
    </row>
    <row r="1271" spans="16:16" x14ac:dyDescent="0.3">
      <c r="P1271"/>
    </row>
    <row r="1272" spans="16:16" x14ac:dyDescent="0.3">
      <c r="P1272"/>
    </row>
    <row r="1273" spans="16:16" x14ac:dyDescent="0.3">
      <c r="P1273"/>
    </row>
    <row r="1274" spans="16:16" x14ac:dyDescent="0.3">
      <c r="P1274"/>
    </row>
    <row r="1275" spans="16:16" x14ac:dyDescent="0.3">
      <c r="P1275"/>
    </row>
    <row r="1276" spans="16:16" x14ac:dyDescent="0.3">
      <c r="P1276"/>
    </row>
    <row r="1277" spans="16:16" x14ac:dyDescent="0.3">
      <c r="P1277"/>
    </row>
    <row r="1278" spans="16:16" x14ac:dyDescent="0.3">
      <c r="P1278"/>
    </row>
    <row r="1279" spans="16:16" x14ac:dyDescent="0.3">
      <c r="P1279"/>
    </row>
    <row r="1280" spans="16:16" x14ac:dyDescent="0.3">
      <c r="P1280"/>
    </row>
    <row r="1281" spans="16:16" x14ac:dyDescent="0.3">
      <c r="P1281"/>
    </row>
    <row r="1282" spans="16:16" x14ac:dyDescent="0.3">
      <c r="P1282"/>
    </row>
    <row r="1283" spans="16:16" x14ac:dyDescent="0.3">
      <c r="P1283"/>
    </row>
    <row r="1284" spans="16:16" x14ac:dyDescent="0.3">
      <c r="P1284"/>
    </row>
    <row r="1285" spans="16:16" x14ac:dyDescent="0.3">
      <c r="P1285"/>
    </row>
    <row r="1286" spans="16:16" x14ac:dyDescent="0.3">
      <c r="P1286"/>
    </row>
    <row r="1287" spans="16:16" x14ac:dyDescent="0.3">
      <c r="P1287"/>
    </row>
    <row r="1288" spans="16:16" x14ac:dyDescent="0.3">
      <c r="P1288"/>
    </row>
    <row r="1289" spans="16:16" x14ac:dyDescent="0.3">
      <c r="P1289"/>
    </row>
    <row r="1290" spans="16:16" x14ac:dyDescent="0.3">
      <c r="P1290"/>
    </row>
    <row r="1291" spans="16:16" x14ac:dyDescent="0.3">
      <c r="P1291"/>
    </row>
    <row r="1292" spans="16:16" x14ac:dyDescent="0.3">
      <c r="P1292"/>
    </row>
    <row r="1293" spans="16:16" x14ac:dyDescent="0.3">
      <c r="P1293"/>
    </row>
    <row r="1294" spans="16:16" x14ac:dyDescent="0.3">
      <c r="P1294"/>
    </row>
    <row r="1295" spans="16:16" x14ac:dyDescent="0.3">
      <c r="P1295"/>
    </row>
    <row r="1296" spans="16:16" x14ac:dyDescent="0.3">
      <c r="P1296"/>
    </row>
    <row r="1297" spans="16:16" x14ac:dyDescent="0.3">
      <c r="P1297"/>
    </row>
    <row r="1298" spans="16:16" x14ac:dyDescent="0.3">
      <c r="P1298"/>
    </row>
    <row r="1299" spans="16:16" x14ac:dyDescent="0.3">
      <c r="P1299"/>
    </row>
    <row r="1300" spans="16:16" x14ac:dyDescent="0.3">
      <c r="P1300"/>
    </row>
    <row r="1301" spans="16:16" x14ac:dyDescent="0.3">
      <c r="P1301"/>
    </row>
    <row r="1302" spans="16:16" x14ac:dyDescent="0.3">
      <c r="P1302"/>
    </row>
    <row r="1303" spans="16:16" x14ac:dyDescent="0.3">
      <c r="P1303"/>
    </row>
    <row r="1304" spans="16:16" x14ac:dyDescent="0.3">
      <c r="P1304"/>
    </row>
    <row r="1305" spans="16:16" x14ac:dyDescent="0.3">
      <c r="P1305"/>
    </row>
    <row r="1306" spans="16:16" x14ac:dyDescent="0.3">
      <c r="P1306"/>
    </row>
    <row r="1307" spans="16:16" x14ac:dyDescent="0.3">
      <c r="P1307"/>
    </row>
    <row r="1308" spans="16:16" x14ac:dyDescent="0.3">
      <c r="P1308"/>
    </row>
    <row r="1309" spans="16:16" x14ac:dyDescent="0.3">
      <c r="P1309"/>
    </row>
    <row r="1310" spans="16:16" x14ac:dyDescent="0.3">
      <c r="P1310"/>
    </row>
    <row r="1311" spans="16:16" x14ac:dyDescent="0.3">
      <c r="P1311"/>
    </row>
    <row r="1312" spans="16:16" x14ac:dyDescent="0.3">
      <c r="P1312"/>
    </row>
    <row r="1313" spans="16:16" x14ac:dyDescent="0.3">
      <c r="P1313"/>
    </row>
    <row r="1314" spans="16:16" x14ac:dyDescent="0.3">
      <c r="P1314"/>
    </row>
    <row r="1315" spans="16:16" x14ac:dyDescent="0.3">
      <c r="P1315"/>
    </row>
    <row r="1316" spans="16:16" x14ac:dyDescent="0.3">
      <c r="P1316"/>
    </row>
    <row r="1317" spans="16:16" x14ac:dyDescent="0.3">
      <c r="P1317"/>
    </row>
    <row r="1318" spans="16:16" x14ac:dyDescent="0.3">
      <c r="P1318"/>
    </row>
    <row r="1319" spans="16:16" x14ac:dyDescent="0.3">
      <c r="P1319"/>
    </row>
    <row r="1320" spans="16:16" x14ac:dyDescent="0.3">
      <c r="P1320"/>
    </row>
    <row r="1321" spans="16:16" x14ac:dyDescent="0.3">
      <c r="P1321"/>
    </row>
    <row r="1322" spans="16:16" x14ac:dyDescent="0.3">
      <c r="P1322"/>
    </row>
    <row r="1323" spans="16:16" x14ac:dyDescent="0.3">
      <c r="P1323"/>
    </row>
    <row r="1324" spans="16:16" x14ac:dyDescent="0.3">
      <c r="P1324"/>
    </row>
    <row r="1325" spans="16:16" x14ac:dyDescent="0.3">
      <c r="P1325"/>
    </row>
    <row r="1326" spans="16:16" x14ac:dyDescent="0.3">
      <c r="P1326"/>
    </row>
    <row r="1327" spans="16:16" x14ac:dyDescent="0.3">
      <c r="P1327"/>
    </row>
    <row r="1328" spans="16:16" x14ac:dyDescent="0.3">
      <c r="P1328"/>
    </row>
    <row r="1329" spans="16:16" x14ac:dyDescent="0.3">
      <c r="P1329"/>
    </row>
    <row r="1330" spans="16:16" x14ac:dyDescent="0.3">
      <c r="P1330"/>
    </row>
    <row r="1331" spans="16:16" x14ac:dyDescent="0.3">
      <c r="P1331"/>
    </row>
    <row r="1332" spans="16:16" x14ac:dyDescent="0.3">
      <c r="P1332"/>
    </row>
    <row r="1333" spans="16:16" x14ac:dyDescent="0.3">
      <c r="P1333"/>
    </row>
    <row r="1334" spans="16:16" x14ac:dyDescent="0.3">
      <c r="P1334"/>
    </row>
    <row r="1335" spans="16:16" x14ac:dyDescent="0.3">
      <c r="P1335"/>
    </row>
    <row r="1336" spans="16:16" x14ac:dyDescent="0.3">
      <c r="P1336"/>
    </row>
    <row r="1337" spans="16:16" x14ac:dyDescent="0.3">
      <c r="P1337"/>
    </row>
    <row r="1338" spans="16:16" x14ac:dyDescent="0.3">
      <c r="P1338"/>
    </row>
    <row r="1339" spans="16:16" x14ac:dyDescent="0.3">
      <c r="P1339"/>
    </row>
    <row r="1340" spans="16:16" x14ac:dyDescent="0.3">
      <c r="P1340"/>
    </row>
    <row r="1341" spans="16:16" x14ac:dyDescent="0.3">
      <c r="P1341"/>
    </row>
    <row r="1342" spans="16:16" x14ac:dyDescent="0.3">
      <c r="P1342"/>
    </row>
    <row r="1343" spans="16:16" x14ac:dyDescent="0.3">
      <c r="P1343"/>
    </row>
    <row r="1344" spans="16:16" x14ac:dyDescent="0.3">
      <c r="P1344"/>
    </row>
    <row r="1345" spans="16:16" x14ac:dyDescent="0.3">
      <c r="P1345"/>
    </row>
    <row r="1346" spans="16:16" x14ac:dyDescent="0.3">
      <c r="P1346"/>
    </row>
    <row r="1347" spans="16:16" x14ac:dyDescent="0.3">
      <c r="P1347"/>
    </row>
    <row r="1348" spans="16:16" x14ac:dyDescent="0.3">
      <c r="P1348"/>
    </row>
    <row r="1349" spans="16:16" x14ac:dyDescent="0.3">
      <c r="P1349"/>
    </row>
    <row r="1350" spans="16:16" x14ac:dyDescent="0.3">
      <c r="P1350"/>
    </row>
    <row r="1351" spans="16:16" x14ac:dyDescent="0.3">
      <c r="P1351"/>
    </row>
    <row r="1352" spans="16:16" x14ac:dyDescent="0.3">
      <c r="P1352"/>
    </row>
    <row r="1353" spans="16:16" x14ac:dyDescent="0.3">
      <c r="P1353"/>
    </row>
    <row r="1354" spans="16:16" x14ac:dyDescent="0.3">
      <c r="P1354"/>
    </row>
    <row r="1355" spans="16:16" x14ac:dyDescent="0.3">
      <c r="P1355"/>
    </row>
    <row r="1356" spans="16:16" x14ac:dyDescent="0.3">
      <c r="P1356"/>
    </row>
    <row r="1357" spans="16:16" x14ac:dyDescent="0.3">
      <c r="P1357"/>
    </row>
    <row r="1358" spans="16:16" x14ac:dyDescent="0.3">
      <c r="P1358"/>
    </row>
    <row r="1359" spans="16:16" x14ac:dyDescent="0.3">
      <c r="P1359"/>
    </row>
    <row r="1360" spans="16:16" x14ac:dyDescent="0.3">
      <c r="P1360"/>
    </row>
    <row r="1361" spans="16:16" x14ac:dyDescent="0.3">
      <c r="P1361"/>
    </row>
    <row r="1362" spans="16:16" x14ac:dyDescent="0.3">
      <c r="P1362"/>
    </row>
    <row r="1363" spans="16:16" x14ac:dyDescent="0.3">
      <c r="P1363"/>
    </row>
    <row r="1364" spans="16:16" x14ac:dyDescent="0.3">
      <c r="P1364"/>
    </row>
    <row r="1365" spans="16:16" x14ac:dyDescent="0.3">
      <c r="P1365"/>
    </row>
    <row r="1366" spans="16:16" x14ac:dyDescent="0.3">
      <c r="P1366"/>
    </row>
    <row r="1367" spans="16:16" x14ac:dyDescent="0.3">
      <c r="P1367"/>
    </row>
    <row r="1368" spans="16:16" x14ac:dyDescent="0.3">
      <c r="P1368"/>
    </row>
    <row r="1369" spans="16:16" x14ac:dyDescent="0.3">
      <c r="P1369"/>
    </row>
    <row r="1370" spans="16:16" x14ac:dyDescent="0.3">
      <c r="P1370"/>
    </row>
    <row r="1371" spans="16:16" x14ac:dyDescent="0.3">
      <c r="P1371"/>
    </row>
    <row r="1372" spans="16:16" x14ac:dyDescent="0.3">
      <c r="P1372"/>
    </row>
    <row r="1373" spans="16:16" x14ac:dyDescent="0.3">
      <c r="P1373"/>
    </row>
    <row r="1374" spans="16:16" x14ac:dyDescent="0.3">
      <c r="P1374"/>
    </row>
    <row r="1375" spans="16:16" x14ac:dyDescent="0.3">
      <c r="P1375"/>
    </row>
    <row r="1376" spans="16:16" x14ac:dyDescent="0.3">
      <c r="P1376"/>
    </row>
    <row r="1377" spans="16:16" x14ac:dyDescent="0.3">
      <c r="P1377"/>
    </row>
    <row r="1378" spans="16:16" x14ac:dyDescent="0.3">
      <c r="P1378"/>
    </row>
    <row r="1379" spans="16:16" x14ac:dyDescent="0.3">
      <c r="P1379"/>
    </row>
    <row r="1380" spans="16:16" x14ac:dyDescent="0.3">
      <c r="P1380"/>
    </row>
    <row r="1381" spans="16:16" x14ac:dyDescent="0.3">
      <c r="P1381"/>
    </row>
    <row r="1382" spans="16:16" x14ac:dyDescent="0.3">
      <c r="P1382"/>
    </row>
    <row r="1383" spans="16:16" x14ac:dyDescent="0.3">
      <c r="P1383"/>
    </row>
    <row r="1384" spans="16:16" x14ac:dyDescent="0.3">
      <c r="P1384"/>
    </row>
    <row r="1385" spans="16:16" x14ac:dyDescent="0.3">
      <c r="P1385"/>
    </row>
    <row r="1386" spans="16:16" x14ac:dyDescent="0.3">
      <c r="P1386"/>
    </row>
    <row r="1387" spans="16:16" x14ac:dyDescent="0.3">
      <c r="P1387"/>
    </row>
    <row r="1388" spans="16:16" x14ac:dyDescent="0.3">
      <c r="P1388"/>
    </row>
    <row r="1389" spans="16:16" x14ac:dyDescent="0.3">
      <c r="P1389"/>
    </row>
    <row r="1390" spans="16:16" x14ac:dyDescent="0.3">
      <c r="P1390"/>
    </row>
    <row r="1391" spans="16:16" x14ac:dyDescent="0.3">
      <c r="P1391"/>
    </row>
    <row r="1392" spans="16:16" x14ac:dyDescent="0.3">
      <c r="P1392"/>
    </row>
    <row r="1393" spans="16:16" x14ac:dyDescent="0.3">
      <c r="P1393"/>
    </row>
    <row r="1394" spans="16:16" x14ac:dyDescent="0.3">
      <c r="P1394"/>
    </row>
    <row r="1395" spans="16:16" x14ac:dyDescent="0.3">
      <c r="P1395"/>
    </row>
    <row r="1396" spans="16:16" x14ac:dyDescent="0.3">
      <c r="P1396"/>
    </row>
    <row r="1397" spans="16:16" x14ac:dyDescent="0.3">
      <c r="P1397"/>
    </row>
    <row r="1398" spans="16:16" x14ac:dyDescent="0.3">
      <c r="P1398"/>
    </row>
    <row r="1399" spans="16:16" x14ac:dyDescent="0.3">
      <c r="P1399"/>
    </row>
    <row r="1400" spans="16:16" x14ac:dyDescent="0.3">
      <c r="P1400"/>
    </row>
    <row r="1401" spans="16:16" x14ac:dyDescent="0.3">
      <c r="P1401"/>
    </row>
    <row r="1402" spans="16:16" x14ac:dyDescent="0.3">
      <c r="P1402"/>
    </row>
    <row r="1403" spans="16:16" x14ac:dyDescent="0.3">
      <c r="P1403"/>
    </row>
    <row r="1404" spans="16:16" x14ac:dyDescent="0.3">
      <c r="P1404"/>
    </row>
    <row r="1405" spans="16:16" x14ac:dyDescent="0.3">
      <c r="P1405"/>
    </row>
    <row r="1406" spans="16:16" x14ac:dyDescent="0.3">
      <c r="P1406"/>
    </row>
    <row r="1407" spans="16:16" x14ac:dyDescent="0.3">
      <c r="P1407"/>
    </row>
    <row r="1408" spans="16:16" x14ac:dyDescent="0.3">
      <c r="P1408"/>
    </row>
    <row r="1409" spans="16:16" x14ac:dyDescent="0.3">
      <c r="P1409"/>
    </row>
    <row r="1410" spans="16:16" x14ac:dyDescent="0.3">
      <c r="P1410"/>
    </row>
    <row r="1411" spans="16:16" x14ac:dyDescent="0.3">
      <c r="P1411"/>
    </row>
    <row r="1412" spans="16:16" x14ac:dyDescent="0.3">
      <c r="P1412"/>
    </row>
    <row r="1413" spans="16:16" x14ac:dyDescent="0.3">
      <c r="P1413"/>
    </row>
    <row r="1414" spans="16:16" x14ac:dyDescent="0.3">
      <c r="P1414"/>
    </row>
    <row r="1415" spans="16:16" x14ac:dyDescent="0.3">
      <c r="P1415"/>
    </row>
    <row r="1416" spans="16:16" x14ac:dyDescent="0.3">
      <c r="P1416"/>
    </row>
    <row r="1417" spans="16:16" x14ac:dyDescent="0.3">
      <c r="P1417"/>
    </row>
    <row r="1418" spans="16:16" x14ac:dyDescent="0.3">
      <c r="P1418"/>
    </row>
    <row r="1419" spans="16:16" x14ac:dyDescent="0.3">
      <c r="P1419"/>
    </row>
    <row r="1420" spans="16:16" x14ac:dyDescent="0.3">
      <c r="P1420"/>
    </row>
    <row r="1421" spans="16:16" x14ac:dyDescent="0.3">
      <c r="P1421"/>
    </row>
    <row r="1422" spans="16:16" x14ac:dyDescent="0.3">
      <c r="P1422"/>
    </row>
    <row r="1423" spans="16:16" x14ac:dyDescent="0.3">
      <c r="P1423"/>
    </row>
    <row r="1424" spans="16:16" x14ac:dyDescent="0.3">
      <c r="P1424"/>
    </row>
    <row r="1425" spans="16:16" x14ac:dyDescent="0.3">
      <c r="P1425"/>
    </row>
    <row r="1426" spans="16:16" x14ac:dyDescent="0.3">
      <c r="P1426"/>
    </row>
    <row r="1427" spans="16:16" x14ac:dyDescent="0.3">
      <c r="P1427"/>
    </row>
    <row r="1428" spans="16:16" x14ac:dyDescent="0.3">
      <c r="P1428"/>
    </row>
    <row r="1429" spans="16:16" x14ac:dyDescent="0.3">
      <c r="P1429"/>
    </row>
    <row r="1430" spans="16:16" x14ac:dyDescent="0.3">
      <c r="P1430"/>
    </row>
    <row r="1431" spans="16:16" x14ac:dyDescent="0.3">
      <c r="P1431"/>
    </row>
    <row r="1432" spans="16:16" x14ac:dyDescent="0.3">
      <c r="P1432"/>
    </row>
    <row r="1433" spans="16:16" x14ac:dyDescent="0.3">
      <c r="P1433"/>
    </row>
    <row r="1434" spans="16:16" x14ac:dyDescent="0.3">
      <c r="P1434"/>
    </row>
    <row r="1435" spans="16:16" x14ac:dyDescent="0.3">
      <c r="P1435"/>
    </row>
    <row r="1436" spans="16:16" x14ac:dyDescent="0.3">
      <c r="P1436"/>
    </row>
    <row r="1437" spans="16:16" x14ac:dyDescent="0.3">
      <c r="P1437"/>
    </row>
    <row r="1438" spans="16:16" x14ac:dyDescent="0.3">
      <c r="P1438"/>
    </row>
    <row r="1439" spans="16:16" x14ac:dyDescent="0.3">
      <c r="P1439"/>
    </row>
    <row r="1440" spans="16:16" x14ac:dyDescent="0.3">
      <c r="P1440"/>
    </row>
    <row r="1441" spans="16:16" x14ac:dyDescent="0.3">
      <c r="P1441"/>
    </row>
    <row r="1442" spans="16:16" x14ac:dyDescent="0.3">
      <c r="P1442"/>
    </row>
    <row r="1443" spans="16:16" x14ac:dyDescent="0.3">
      <c r="P1443"/>
    </row>
    <row r="1444" spans="16:16" x14ac:dyDescent="0.3">
      <c r="P1444"/>
    </row>
    <row r="1445" spans="16:16" x14ac:dyDescent="0.3">
      <c r="P1445"/>
    </row>
    <row r="1446" spans="16:16" x14ac:dyDescent="0.3">
      <c r="P1446"/>
    </row>
    <row r="1447" spans="16:16" x14ac:dyDescent="0.3">
      <c r="P1447"/>
    </row>
    <row r="1448" spans="16:16" x14ac:dyDescent="0.3">
      <c r="P1448"/>
    </row>
    <row r="1449" spans="16:16" x14ac:dyDescent="0.3">
      <c r="P1449"/>
    </row>
    <row r="1450" spans="16:16" x14ac:dyDescent="0.3">
      <c r="P1450"/>
    </row>
    <row r="1451" spans="16:16" x14ac:dyDescent="0.3">
      <c r="P1451"/>
    </row>
    <row r="1452" spans="16:16" x14ac:dyDescent="0.3">
      <c r="P1452"/>
    </row>
    <row r="1453" spans="16:16" x14ac:dyDescent="0.3">
      <c r="P1453"/>
    </row>
    <row r="1454" spans="16:16" x14ac:dyDescent="0.3">
      <c r="P1454"/>
    </row>
    <row r="1455" spans="16:16" x14ac:dyDescent="0.3">
      <c r="P1455"/>
    </row>
    <row r="1456" spans="16:16" x14ac:dyDescent="0.3">
      <c r="P1456"/>
    </row>
    <row r="1457" spans="16:16" x14ac:dyDescent="0.3">
      <c r="P1457"/>
    </row>
    <row r="1458" spans="16:16" x14ac:dyDescent="0.3">
      <c r="P1458"/>
    </row>
    <row r="1459" spans="16:16" x14ac:dyDescent="0.3">
      <c r="P1459"/>
    </row>
    <row r="1460" spans="16:16" x14ac:dyDescent="0.3">
      <c r="P1460"/>
    </row>
    <row r="1461" spans="16:16" x14ac:dyDescent="0.3">
      <c r="P1461"/>
    </row>
    <row r="1462" spans="16:16" x14ac:dyDescent="0.3">
      <c r="P1462"/>
    </row>
    <row r="1463" spans="16:16" x14ac:dyDescent="0.3">
      <c r="P1463"/>
    </row>
    <row r="1464" spans="16:16" x14ac:dyDescent="0.3">
      <c r="P1464"/>
    </row>
    <row r="1465" spans="16:16" x14ac:dyDescent="0.3">
      <c r="P1465"/>
    </row>
    <row r="1466" spans="16:16" x14ac:dyDescent="0.3">
      <c r="P1466"/>
    </row>
    <row r="1467" spans="16:16" x14ac:dyDescent="0.3">
      <c r="P1467"/>
    </row>
    <row r="1468" spans="16:16" x14ac:dyDescent="0.3">
      <c r="P1468"/>
    </row>
    <row r="1469" spans="16:16" x14ac:dyDescent="0.3">
      <c r="P1469"/>
    </row>
    <row r="1470" spans="16:16" x14ac:dyDescent="0.3">
      <c r="P1470"/>
    </row>
    <row r="1471" spans="16:16" x14ac:dyDescent="0.3">
      <c r="P1471"/>
    </row>
    <row r="1472" spans="16:16" x14ac:dyDescent="0.3">
      <c r="P1472"/>
    </row>
    <row r="1473" spans="16:16" x14ac:dyDescent="0.3">
      <c r="P1473"/>
    </row>
    <row r="1474" spans="16:16" x14ac:dyDescent="0.3">
      <c r="P1474"/>
    </row>
    <row r="1475" spans="16:16" x14ac:dyDescent="0.3">
      <c r="P1475"/>
    </row>
    <row r="1476" spans="16:16" x14ac:dyDescent="0.3">
      <c r="P1476"/>
    </row>
    <row r="1477" spans="16:16" x14ac:dyDescent="0.3">
      <c r="P1477"/>
    </row>
    <row r="1478" spans="16:16" x14ac:dyDescent="0.3">
      <c r="P1478"/>
    </row>
    <row r="1479" spans="16:16" x14ac:dyDescent="0.3">
      <c r="P1479"/>
    </row>
    <row r="1480" spans="16:16" x14ac:dyDescent="0.3">
      <c r="P1480"/>
    </row>
    <row r="1481" spans="16:16" x14ac:dyDescent="0.3">
      <c r="P1481"/>
    </row>
    <row r="1482" spans="16:16" x14ac:dyDescent="0.3">
      <c r="P1482"/>
    </row>
    <row r="1483" spans="16:16" x14ac:dyDescent="0.3">
      <c r="P1483"/>
    </row>
    <row r="1484" spans="16:16" x14ac:dyDescent="0.3">
      <c r="P1484"/>
    </row>
    <row r="1485" spans="16:16" x14ac:dyDescent="0.3">
      <c r="P1485"/>
    </row>
    <row r="1486" spans="16:16" x14ac:dyDescent="0.3">
      <c r="P1486"/>
    </row>
    <row r="1487" spans="16:16" x14ac:dyDescent="0.3">
      <c r="P1487"/>
    </row>
    <row r="1488" spans="16:16" x14ac:dyDescent="0.3">
      <c r="P1488"/>
    </row>
    <row r="1489" spans="16:16" x14ac:dyDescent="0.3">
      <c r="P1489"/>
    </row>
    <row r="1490" spans="16:16" x14ac:dyDescent="0.3">
      <c r="P1490"/>
    </row>
    <row r="1491" spans="16:16" x14ac:dyDescent="0.3">
      <c r="P1491"/>
    </row>
    <row r="1492" spans="16:16" x14ac:dyDescent="0.3">
      <c r="P1492"/>
    </row>
    <row r="1493" spans="16:16" x14ac:dyDescent="0.3">
      <c r="P1493"/>
    </row>
    <row r="1494" spans="16:16" x14ac:dyDescent="0.3">
      <c r="P1494"/>
    </row>
    <row r="1495" spans="16:16" x14ac:dyDescent="0.3">
      <c r="P1495"/>
    </row>
    <row r="1496" spans="16:16" x14ac:dyDescent="0.3">
      <c r="P1496"/>
    </row>
    <row r="1497" spans="16:16" x14ac:dyDescent="0.3">
      <c r="P1497"/>
    </row>
    <row r="1498" spans="16:16" x14ac:dyDescent="0.3">
      <c r="P1498"/>
    </row>
    <row r="1499" spans="16:16" x14ac:dyDescent="0.3">
      <c r="P1499"/>
    </row>
    <row r="1500" spans="16:16" x14ac:dyDescent="0.3">
      <c r="P1500"/>
    </row>
    <row r="1501" spans="16:16" x14ac:dyDescent="0.3">
      <c r="P1501"/>
    </row>
    <row r="1502" spans="16:16" x14ac:dyDescent="0.3">
      <c r="P1502"/>
    </row>
    <row r="1503" spans="16:16" x14ac:dyDescent="0.3">
      <c r="P1503"/>
    </row>
    <row r="1504" spans="16:16" x14ac:dyDescent="0.3">
      <c r="P1504"/>
    </row>
    <row r="1505" spans="16:16" x14ac:dyDescent="0.3">
      <c r="P1505"/>
    </row>
    <row r="1506" spans="16:16" x14ac:dyDescent="0.3">
      <c r="P1506"/>
    </row>
    <row r="1507" spans="16:16" x14ac:dyDescent="0.3">
      <c r="P1507"/>
    </row>
    <row r="1508" spans="16:16" x14ac:dyDescent="0.3">
      <c r="P1508"/>
    </row>
    <row r="1509" spans="16:16" x14ac:dyDescent="0.3">
      <c r="P1509"/>
    </row>
    <row r="1510" spans="16:16" x14ac:dyDescent="0.3">
      <c r="P1510"/>
    </row>
    <row r="1511" spans="16:16" x14ac:dyDescent="0.3">
      <c r="P1511"/>
    </row>
    <row r="1512" spans="16:16" x14ac:dyDescent="0.3">
      <c r="P1512"/>
    </row>
    <row r="1513" spans="16:16" x14ac:dyDescent="0.3">
      <c r="P1513"/>
    </row>
    <row r="1514" spans="16:16" x14ac:dyDescent="0.3">
      <c r="P1514"/>
    </row>
    <row r="1515" spans="16:16" x14ac:dyDescent="0.3">
      <c r="P1515"/>
    </row>
    <row r="1516" spans="16:16" x14ac:dyDescent="0.3">
      <c r="P1516"/>
    </row>
    <row r="1517" spans="16:16" x14ac:dyDescent="0.3">
      <c r="P1517"/>
    </row>
    <row r="1518" spans="16:16" x14ac:dyDescent="0.3">
      <c r="P1518"/>
    </row>
    <row r="1519" spans="16:16" x14ac:dyDescent="0.3">
      <c r="P1519"/>
    </row>
    <row r="1520" spans="16:16" x14ac:dyDescent="0.3">
      <c r="P1520"/>
    </row>
    <row r="1521" spans="16:16" x14ac:dyDescent="0.3">
      <c r="P1521"/>
    </row>
    <row r="1522" spans="16:16" x14ac:dyDescent="0.3">
      <c r="P1522"/>
    </row>
    <row r="1523" spans="16:16" x14ac:dyDescent="0.3">
      <c r="P1523"/>
    </row>
    <row r="1524" spans="16:16" x14ac:dyDescent="0.3">
      <c r="P1524"/>
    </row>
    <row r="1525" spans="16:16" x14ac:dyDescent="0.3">
      <c r="P1525"/>
    </row>
    <row r="1526" spans="16:16" x14ac:dyDescent="0.3">
      <c r="P1526"/>
    </row>
    <row r="1527" spans="16:16" x14ac:dyDescent="0.3">
      <c r="P1527"/>
    </row>
    <row r="1528" spans="16:16" x14ac:dyDescent="0.3">
      <c r="P1528"/>
    </row>
    <row r="1529" spans="16:16" x14ac:dyDescent="0.3">
      <c r="P1529"/>
    </row>
    <row r="1530" spans="16:16" x14ac:dyDescent="0.3">
      <c r="P1530"/>
    </row>
    <row r="1531" spans="16:16" x14ac:dyDescent="0.3">
      <c r="P1531"/>
    </row>
    <row r="1532" spans="16:16" x14ac:dyDescent="0.3">
      <c r="P1532"/>
    </row>
    <row r="1533" spans="16:16" x14ac:dyDescent="0.3">
      <c r="P1533"/>
    </row>
    <row r="1534" spans="16:16" x14ac:dyDescent="0.3">
      <c r="P1534"/>
    </row>
    <row r="1535" spans="16:16" x14ac:dyDescent="0.3">
      <c r="P1535"/>
    </row>
    <row r="1536" spans="16:16" x14ac:dyDescent="0.3">
      <c r="P1536"/>
    </row>
    <row r="1537" spans="16:16" x14ac:dyDescent="0.3">
      <c r="P1537"/>
    </row>
    <row r="1538" spans="16:16" x14ac:dyDescent="0.3">
      <c r="P1538"/>
    </row>
    <row r="1539" spans="16:16" x14ac:dyDescent="0.3">
      <c r="P1539"/>
    </row>
    <row r="1540" spans="16:16" x14ac:dyDescent="0.3">
      <c r="P1540"/>
    </row>
    <row r="1541" spans="16:16" x14ac:dyDescent="0.3">
      <c r="P1541"/>
    </row>
    <row r="1542" spans="16:16" x14ac:dyDescent="0.3">
      <c r="P1542"/>
    </row>
    <row r="1543" spans="16:16" x14ac:dyDescent="0.3">
      <c r="P1543"/>
    </row>
    <row r="1544" spans="16:16" x14ac:dyDescent="0.3">
      <c r="P1544"/>
    </row>
    <row r="1545" spans="16:16" x14ac:dyDescent="0.3">
      <c r="P1545"/>
    </row>
    <row r="1546" spans="16:16" x14ac:dyDescent="0.3">
      <c r="P1546"/>
    </row>
    <row r="1547" spans="16:16" x14ac:dyDescent="0.3">
      <c r="P1547"/>
    </row>
    <row r="1548" spans="16:16" x14ac:dyDescent="0.3">
      <c r="P1548"/>
    </row>
    <row r="1549" spans="16:16" x14ac:dyDescent="0.3">
      <c r="P1549"/>
    </row>
    <row r="1550" spans="16:16" x14ac:dyDescent="0.3">
      <c r="P1550"/>
    </row>
    <row r="1551" spans="16:16" x14ac:dyDescent="0.3">
      <c r="P1551"/>
    </row>
    <row r="1552" spans="16:16" x14ac:dyDescent="0.3">
      <c r="P1552"/>
    </row>
    <row r="1553" spans="16:16" x14ac:dyDescent="0.3">
      <c r="P1553"/>
    </row>
    <row r="1554" spans="16:16" x14ac:dyDescent="0.3">
      <c r="P1554"/>
    </row>
    <row r="1555" spans="16:16" x14ac:dyDescent="0.3">
      <c r="P1555"/>
    </row>
    <row r="1556" spans="16:16" x14ac:dyDescent="0.3">
      <c r="P1556"/>
    </row>
    <row r="1557" spans="16:16" x14ac:dyDescent="0.3">
      <c r="P1557"/>
    </row>
    <row r="1558" spans="16:16" x14ac:dyDescent="0.3">
      <c r="P1558"/>
    </row>
    <row r="1559" spans="16:16" x14ac:dyDescent="0.3">
      <c r="P1559"/>
    </row>
    <row r="1560" spans="16:16" x14ac:dyDescent="0.3">
      <c r="P1560"/>
    </row>
    <row r="1561" spans="16:16" x14ac:dyDescent="0.3">
      <c r="P1561"/>
    </row>
    <row r="1562" spans="16:16" x14ac:dyDescent="0.3">
      <c r="P1562"/>
    </row>
    <row r="1563" spans="16:16" x14ac:dyDescent="0.3">
      <c r="P1563"/>
    </row>
    <row r="1564" spans="16:16" x14ac:dyDescent="0.3">
      <c r="P1564"/>
    </row>
    <row r="1565" spans="16:16" x14ac:dyDescent="0.3">
      <c r="P1565"/>
    </row>
    <row r="1566" spans="16:16" x14ac:dyDescent="0.3">
      <c r="P1566"/>
    </row>
    <row r="1567" spans="16:16" x14ac:dyDescent="0.3">
      <c r="P1567"/>
    </row>
    <row r="1568" spans="16:16" x14ac:dyDescent="0.3">
      <c r="P1568"/>
    </row>
    <row r="1569" spans="16:16" x14ac:dyDescent="0.3">
      <c r="P1569"/>
    </row>
    <row r="1570" spans="16:16" x14ac:dyDescent="0.3">
      <c r="P1570"/>
    </row>
    <row r="1571" spans="16:16" x14ac:dyDescent="0.3">
      <c r="P1571"/>
    </row>
    <row r="1572" spans="16:16" x14ac:dyDescent="0.3">
      <c r="P1572"/>
    </row>
    <row r="1573" spans="16:16" x14ac:dyDescent="0.3">
      <c r="P1573"/>
    </row>
    <row r="1574" spans="16:16" x14ac:dyDescent="0.3">
      <c r="P1574"/>
    </row>
    <row r="1575" spans="16:16" x14ac:dyDescent="0.3">
      <c r="P1575"/>
    </row>
    <row r="1576" spans="16:16" x14ac:dyDescent="0.3">
      <c r="P1576"/>
    </row>
    <row r="1577" spans="16:16" x14ac:dyDescent="0.3">
      <c r="P1577"/>
    </row>
    <row r="1578" spans="16:16" x14ac:dyDescent="0.3">
      <c r="P1578"/>
    </row>
    <row r="1579" spans="16:16" x14ac:dyDescent="0.3">
      <c r="P1579"/>
    </row>
    <row r="1580" spans="16:16" x14ac:dyDescent="0.3">
      <c r="P1580"/>
    </row>
    <row r="1581" spans="16:16" x14ac:dyDescent="0.3">
      <c r="P1581"/>
    </row>
    <row r="1582" spans="16:16" x14ac:dyDescent="0.3">
      <c r="P1582"/>
    </row>
    <row r="1583" spans="16:16" x14ac:dyDescent="0.3">
      <c r="P1583"/>
    </row>
    <row r="1584" spans="16:16" x14ac:dyDescent="0.3">
      <c r="P1584"/>
    </row>
    <row r="1585" spans="16:16" x14ac:dyDescent="0.3">
      <c r="P1585"/>
    </row>
    <row r="1586" spans="16:16" x14ac:dyDescent="0.3">
      <c r="P1586"/>
    </row>
    <row r="1587" spans="16:16" x14ac:dyDescent="0.3">
      <c r="P1587"/>
    </row>
    <row r="1588" spans="16:16" x14ac:dyDescent="0.3">
      <c r="P1588"/>
    </row>
    <row r="1589" spans="16:16" x14ac:dyDescent="0.3">
      <c r="P1589"/>
    </row>
    <row r="1590" spans="16:16" x14ac:dyDescent="0.3">
      <c r="P1590"/>
    </row>
    <row r="1591" spans="16:16" x14ac:dyDescent="0.3">
      <c r="P1591"/>
    </row>
    <row r="1592" spans="16:16" x14ac:dyDescent="0.3">
      <c r="P1592"/>
    </row>
    <row r="1593" spans="16:16" x14ac:dyDescent="0.3">
      <c r="P1593"/>
    </row>
    <row r="1594" spans="16:16" x14ac:dyDescent="0.3">
      <c r="P1594"/>
    </row>
    <row r="1595" spans="16:16" x14ac:dyDescent="0.3">
      <c r="P1595"/>
    </row>
    <row r="1596" spans="16:16" x14ac:dyDescent="0.3">
      <c r="P1596"/>
    </row>
    <row r="1597" spans="16:16" x14ac:dyDescent="0.3">
      <c r="P1597"/>
    </row>
    <row r="1598" spans="16:16" x14ac:dyDescent="0.3">
      <c r="P1598"/>
    </row>
    <row r="1599" spans="16:16" x14ac:dyDescent="0.3">
      <c r="P1599"/>
    </row>
    <row r="1600" spans="16:16" x14ac:dyDescent="0.3">
      <c r="P1600"/>
    </row>
    <row r="1601" spans="16:16" x14ac:dyDescent="0.3">
      <c r="P1601"/>
    </row>
    <row r="1602" spans="16:16" x14ac:dyDescent="0.3">
      <c r="P1602"/>
    </row>
    <row r="1603" spans="16:16" x14ac:dyDescent="0.3">
      <c r="P1603"/>
    </row>
    <row r="1604" spans="16:16" x14ac:dyDescent="0.3">
      <c r="P1604"/>
    </row>
    <row r="1605" spans="16:16" x14ac:dyDescent="0.3">
      <c r="P1605"/>
    </row>
    <row r="1606" spans="16:16" x14ac:dyDescent="0.3">
      <c r="P1606"/>
    </row>
    <row r="1607" spans="16:16" x14ac:dyDescent="0.3">
      <c r="P1607"/>
    </row>
    <row r="1608" spans="16:16" x14ac:dyDescent="0.3">
      <c r="P1608"/>
    </row>
    <row r="1609" spans="16:16" x14ac:dyDescent="0.3">
      <c r="P1609"/>
    </row>
    <row r="1610" spans="16:16" x14ac:dyDescent="0.3">
      <c r="P1610"/>
    </row>
    <row r="1611" spans="16:16" x14ac:dyDescent="0.3">
      <c r="P1611"/>
    </row>
    <row r="1612" spans="16:16" x14ac:dyDescent="0.3">
      <c r="P1612"/>
    </row>
    <row r="1613" spans="16:16" x14ac:dyDescent="0.3">
      <c r="P1613"/>
    </row>
    <row r="1614" spans="16:16" x14ac:dyDescent="0.3">
      <c r="P1614"/>
    </row>
    <row r="1615" spans="16:16" x14ac:dyDescent="0.3">
      <c r="P1615"/>
    </row>
    <row r="1616" spans="16:16" x14ac:dyDescent="0.3">
      <c r="P1616"/>
    </row>
    <row r="1617" spans="16:16" x14ac:dyDescent="0.3">
      <c r="P1617"/>
    </row>
    <row r="1618" spans="16:16" x14ac:dyDescent="0.3">
      <c r="P1618"/>
    </row>
    <row r="1619" spans="16:16" x14ac:dyDescent="0.3">
      <c r="P1619"/>
    </row>
    <row r="1620" spans="16:16" x14ac:dyDescent="0.3">
      <c r="P1620"/>
    </row>
    <row r="1621" spans="16:16" x14ac:dyDescent="0.3">
      <c r="P1621"/>
    </row>
    <row r="1622" spans="16:16" x14ac:dyDescent="0.3">
      <c r="P1622"/>
    </row>
    <row r="1623" spans="16:16" x14ac:dyDescent="0.3">
      <c r="P1623"/>
    </row>
    <row r="1624" spans="16:16" x14ac:dyDescent="0.3">
      <c r="P1624"/>
    </row>
    <row r="1625" spans="16:16" x14ac:dyDescent="0.3">
      <c r="P1625"/>
    </row>
    <row r="1626" spans="16:16" x14ac:dyDescent="0.3">
      <c r="P1626"/>
    </row>
    <row r="1627" spans="16:16" x14ac:dyDescent="0.3">
      <c r="P1627"/>
    </row>
    <row r="1628" spans="16:16" x14ac:dyDescent="0.3">
      <c r="P1628"/>
    </row>
    <row r="1629" spans="16:16" x14ac:dyDescent="0.3">
      <c r="P1629"/>
    </row>
    <row r="1630" spans="16:16" x14ac:dyDescent="0.3">
      <c r="P1630"/>
    </row>
    <row r="1631" spans="16:16" x14ac:dyDescent="0.3">
      <c r="P1631"/>
    </row>
    <row r="1632" spans="16:16" x14ac:dyDescent="0.3">
      <c r="P1632"/>
    </row>
    <row r="1633" spans="16:16" x14ac:dyDescent="0.3">
      <c r="P1633"/>
    </row>
    <row r="1634" spans="16:16" x14ac:dyDescent="0.3">
      <c r="P1634"/>
    </row>
    <row r="1635" spans="16:16" x14ac:dyDescent="0.3">
      <c r="P1635"/>
    </row>
    <row r="1636" spans="16:16" x14ac:dyDescent="0.3">
      <c r="P1636"/>
    </row>
    <row r="1637" spans="16:16" x14ac:dyDescent="0.3">
      <c r="P1637"/>
    </row>
    <row r="1638" spans="16:16" x14ac:dyDescent="0.3">
      <c r="P1638"/>
    </row>
    <row r="1639" spans="16:16" x14ac:dyDescent="0.3">
      <c r="P1639"/>
    </row>
    <row r="1640" spans="16:16" x14ac:dyDescent="0.3">
      <c r="P1640"/>
    </row>
    <row r="1641" spans="16:16" x14ac:dyDescent="0.3">
      <c r="P1641"/>
    </row>
    <row r="1642" spans="16:16" x14ac:dyDescent="0.3">
      <c r="P1642"/>
    </row>
    <row r="1643" spans="16:16" x14ac:dyDescent="0.3">
      <c r="P1643"/>
    </row>
    <row r="1644" spans="16:16" x14ac:dyDescent="0.3">
      <c r="P1644"/>
    </row>
    <row r="1645" spans="16:16" x14ac:dyDescent="0.3">
      <c r="P1645"/>
    </row>
    <row r="1646" spans="16:16" x14ac:dyDescent="0.3">
      <c r="P1646"/>
    </row>
    <row r="1647" spans="16:16" x14ac:dyDescent="0.3">
      <c r="P1647"/>
    </row>
    <row r="1648" spans="16:16" x14ac:dyDescent="0.3">
      <c r="P1648"/>
    </row>
    <row r="1649" spans="16:16" x14ac:dyDescent="0.3">
      <c r="P1649"/>
    </row>
    <row r="1650" spans="16:16" x14ac:dyDescent="0.3">
      <c r="P1650"/>
    </row>
    <row r="1651" spans="16:16" x14ac:dyDescent="0.3">
      <c r="P1651"/>
    </row>
    <row r="1652" spans="16:16" x14ac:dyDescent="0.3">
      <c r="P1652"/>
    </row>
    <row r="1653" spans="16:16" x14ac:dyDescent="0.3">
      <c r="P1653"/>
    </row>
    <row r="1654" spans="16:16" x14ac:dyDescent="0.3">
      <c r="P1654"/>
    </row>
    <row r="1655" spans="16:16" x14ac:dyDescent="0.3">
      <c r="P1655"/>
    </row>
    <row r="1656" spans="16:16" x14ac:dyDescent="0.3">
      <c r="P1656"/>
    </row>
    <row r="1657" spans="16:16" x14ac:dyDescent="0.3">
      <c r="P1657"/>
    </row>
    <row r="1658" spans="16:16" x14ac:dyDescent="0.3">
      <c r="P1658"/>
    </row>
    <row r="1659" spans="16:16" x14ac:dyDescent="0.3">
      <c r="P1659"/>
    </row>
    <row r="1660" spans="16:16" x14ac:dyDescent="0.3">
      <c r="P1660"/>
    </row>
    <row r="1661" spans="16:16" x14ac:dyDescent="0.3">
      <c r="P1661"/>
    </row>
    <row r="1662" spans="16:16" x14ac:dyDescent="0.3">
      <c r="P1662"/>
    </row>
    <row r="1663" spans="16:16" x14ac:dyDescent="0.3">
      <c r="P1663"/>
    </row>
    <row r="1664" spans="16:16" x14ac:dyDescent="0.3">
      <c r="P1664"/>
    </row>
    <row r="1665" spans="16:16" x14ac:dyDescent="0.3">
      <c r="P1665"/>
    </row>
    <row r="1666" spans="16:16" x14ac:dyDescent="0.3">
      <c r="P1666"/>
    </row>
    <row r="1667" spans="16:16" x14ac:dyDescent="0.3">
      <c r="P1667"/>
    </row>
    <row r="1668" spans="16:16" x14ac:dyDescent="0.3">
      <c r="P1668"/>
    </row>
    <row r="1669" spans="16:16" x14ac:dyDescent="0.3">
      <c r="P1669"/>
    </row>
    <row r="1670" spans="16:16" x14ac:dyDescent="0.3">
      <c r="P1670"/>
    </row>
    <row r="1671" spans="16:16" x14ac:dyDescent="0.3">
      <c r="P1671"/>
    </row>
    <row r="1672" spans="16:16" x14ac:dyDescent="0.3">
      <c r="P1672"/>
    </row>
    <row r="1673" spans="16:16" x14ac:dyDescent="0.3">
      <c r="P1673"/>
    </row>
    <row r="1674" spans="16:16" x14ac:dyDescent="0.3">
      <c r="P1674"/>
    </row>
    <row r="1675" spans="16:16" x14ac:dyDescent="0.3">
      <c r="P1675"/>
    </row>
    <row r="1676" spans="16:16" x14ac:dyDescent="0.3">
      <c r="P1676"/>
    </row>
    <row r="1677" spans="16:16" x14ac:dyDescent="0.3">
      <c r="P1677"/>
    </row>
    <row r="1678" spans="16:16" x14ac:dyDescent="0.3">
      <c r="P1678"/>
    </row>
    <row r="1679" spans="16:16" x14ac:dyDescent="0.3">
      <c r="P1679"/>
    </row>
    <row r="1680" spans="16:16" x14ac:dyDescent="0.3">
      <c r="P1680"/>
    </row>
    <row r="1681" spans="16:16" x14ac:dyDescent="0.3">
      <c r="P1681"/>
    </row>
    <row r="1682" spans="16:16" x14ac:dyDescent="0.3">
      <c r="P1682"/>
    </row>
    <row r="1683" spans="16:16" x14ac:dyDescent="0.3">
      <c r="P1683"/>
    </row>
    <row r="1684" spans="16:16" x14ac:dyDescent="0.3">
      <c r="P1684"/>
    </row>
    <row r="1685" spans="16:16" x14ac:dyDescent="0.3">
      <c r="P1685"/>
    </row>
    <row r="1686" spans="16:16" x14ac:dyDescent="0.3">
      <c r="P1686"/>
    </row>
    <row r="1687" spans="16:16" x14ac:dyDescent="0.3">
      <c r="P1687"/>
    </row>
    <row r="1688" spans="16:16" x14ac:dyDescent="0.3">
      <c r="P1688"/>
    </row>
    <row r="1689" spans="16:16" x14ac:dyDescent="0.3">
      <c r="P1689"/>
    </row>
    <row r="1690" spans="16:16" x14ac:dyDescent="0.3">
      <c r="P1690"/>
    </row>
    <row r="1691" spans="16:16" x14ac:dyDescent="0.3">
      <c r="P1691"/>
    </row>
    <row r="1692" spans="16:16" x14ac:dyDescent="0.3">
      <c r="P1692"/>
    </row>
    <row r="1693" spans="16:16" x14ac:dyDescent="0.3">
      <c r="P1693"/>
    </row>
    <row r="1694" spans="16:16" x14ac:dyDescent="0.3">
      <c r="P1694"/>
    </row>
    <row r="1695" spans="16:16" x14ac:dyDescent="0.3">
      <c r="P1695"/>
    </row>
    <row r="1696" spans="16:16" x14ac:dyDescent="0.3">
      <c r="P1696"/>
    </row>
    <row r="1697" spans="16:16" x14ac:dyDescent="0.3">
      <c r="P1697"/>
    </row>
    <row r="1698" spans="16:16" x14ac:dyDescent="0.3">
      <c r="P1698"/>
    </row>
    <row r="1699" spans="16:16" x14ac:dyDescent="0.3">
      <c r="P1699"/>
    </row>
    <row r="1700" spans="16:16" x14ac:dyDescent="0.3">
      <c r="P1700"/>
    </row>
    <row r="1701" spans="16:16" x14ac:dyDescent="0.3">
      <c r="P1701"/>
    </row>
    <row r="1702" spans="16:16" x14ac:dyDescent="0.3">
      <c r="P1702"/>
    </row>
    <row r="1703" spans="16:16" x14ac:dyDescent="0.3">
      <c r="P1703"/>
    </row>
    <row r="1704" spans="16:16" x14ac:dyDescent="0.3">
      <c r="P1704"/>
    </row>
    <row r="1705" spans="16:16" x14ac:dyDescent="0.3">
      <c r="P1705"/>
    </row>
    <row r="1706" spans="16:16" x14ac:dyDescent="0.3">
      <c r="P1706"/>
    </row>
    <row r="1707" spans="16:16" x14ac:dyDescent="0.3">
      <c r="P1707"/>
    </row>
    <row r="1708" spans="16:16" x14ac:dyDescent="0.3">
      <c r="P1708"/>
    </row>
    <row r="1709" spans="16:16" x14ac:dyDescent="0.3">
      <c r="P1709"/>
    </row>
    <row r="1710" spans="16:16" x14ac:dyDescent="0.3">
      <c r="P1710"/>
    </row>
    <row r="1711" spans="16:16" x14ac:dyDescent="0.3">
      <c r="P1711"/>
    </row>
    <row r="1712" spans="16:16" x14ac:dyDescent="0.3">
      <c r="P1712"/>
    </row>
    <row r="1713" spans="16:16" x14ac:dyDescent="0.3">
      <c r="P1713"/>
    </row>
    <row r="1714" spans="16:16" x14ac:dyDescent="0.3">
      <c r="P1714"/>
    </row>
    <row r="1715" spans="16:16" x14ac:dyDescent="0.3">
      <c r="P1715"/>
    </row>
    <row r="1716" spans="16:16" x14ac:dyDescent="0.3">
      <c r="P1716"/>
    </row>
    <row r="1717" spans="16:16" x14ac:dyDescent="0.3">
      <c r="P1717"/>
    </row>
    <row r="1718" spans="16:16" x14ac:dyDescent="0.3">
      <c r="P1718"/>
    </row>
    <row r="1719" spans="16:16" x14ac:dyDescent="0.3">
      <c r="P1719"/>
    </row>
    <row r="1720" spans="16:16" x14ac:dyDescent="0.3">
      <c r="P1720"/>
    </row>
    <row r="1721" spans="16:16" x14ac:dyDescent="0.3">
      <c r="P1721"/>
    </row>
    <row r="1722" spans="16:16" x14ac:dyDescent="0.3">
      <c r="P1722"/>
    </row>
    <row r="1723" spans="16:16" x14ac:dyDescent="0.3">
      <c r="P1723"/>
    </row>
    <row r="1724" spans="16:16" x14ac:dyDescent="0.3">
      <c r="P1724"/>
    </row>
    <row r="1725" spans="16:16" x14ac:dyDescent="0.3">
      <c r="P1725"/>
    </row>
    <row r="1726" spans="16:16" x14ac:dyDescent="0.3">
      <c r="P1726"/>
    </row>
    <row r="1727" spans="16:16" x14ac:dyDescent="0.3">
      <c r="P1727"/>
    </row>
    <row r="1728" spans="16:16" x14ac:dyDescent="0.3">
      <c r="P1728"/>
    </row>
    <row r="1729" spans="16:16" x14ac:dyDescent="0.3">
      <c r="P1729"/>
    </row>
    <row r="1730" spans="16:16" x14ac:dyDescent="0.3">
      <c r="P1730"/>
    </row>
    <row r="1731" spans="16:16" x14ac:dyDescent="0.3">
      <c r="P1731"/>
    </row>
    <row r="1732" spans="16:16" x14ac:dyDescent="0.3">
      <c r="P1732"/>
    </row>
    <row r="1733" spans="16:16" x14ac:dyDescent="0.3">
      <c r="P1733"/>
    </row>
    <row r="1734" spans="16:16" x14ac:dyDescent="0.3">
      <c r="P1734"/>
    </row>
    <row r="1735" spans="16:16" x14ac:dyDescent="0.3">
      <c r="P1735"/>
    </row>
    <row r="1736" spans="16:16" x14ac:dyDescent="0.3">
      <c r="P1736"/>
    </row>
    <row r="1737" spans="16:16" x14ac:dyDescent="0.3">
      <c r="P1737"/>
    </row>
    <row r="1738" spans="16:16" x14ac:dyDescent="0.3">
      <c r="P1738"/>
    </row>
    <row r="1739" spans="16:16" x14ac:dyDescent="0.3">
      <c r="P1739"/>
    </row>
    <row r="1740" spans="16:16" x14ac:dyDescent="0.3">
      <c r="P1740"/>
    </row>
    <row r="1741" spans="16:16" x14ac:dyDescent="0.3">
      <c r="P1741"/>
    </row>
    <row r="1742" spans="16:16" x14ac:dyDescent="0.3">
      <c r="P1742"/>
    </row>
    <row r="1743" spans="16:16" x14ac:dyDescent="0.3">
      <c r="P1743"/>
    </row>
    <row r="1744" spans="16:16" x14ac:dyDescent="0.3">
      <c r="P1744"/>
    </row>
    <row r="1745" spans="16:16" x14ac:dyDescent="0.3">
      <c r="P1745"/>
    </row>
    <row r="1746" spans="16:16" x14ac:dyDescent="0.3">
      <c r="P1746"/>
    </row>
    <row r="1747" spans="16:16" x14ac:dyDescent="0.3">
      <c r="P1747"/>
    </row>
    <row r="1748" spans="16:16" x14ac:dyDescent="0.3">
      <c r="P1748"/>
    </row>
    <row r="1749" spans="16:16" x14ac:dyDescent="0.3">
      <c r="P1749"/>
    </row>
    <row r="1750" spans="16:16" x14ac:dyDescent="0.3">
      <c r="P1750"/>
    </row>
    <row r="1751" spans="16:16" x14ac:dyDescent="0.3">
      <c r="P1751"/>
    </row>
    <row r="1752" spans="16:16" x14ac:dyDescent="0.3">
      <c r="P1752"/>
    </row>
    <row r="1753" spans="16:16" x14ac:dyDescent="0.3">
      <c r="P1753"/>
    </row>
    <row r="1754" spans="16:16" x14ac:dyDescent="0.3">
      <c r="P1754"/>
    </row>
    <row r="1755" spans="16:16" x14ac:dyDescent="0.3">
      <c r="P1755"/>
    </row>
    <row r="1756" spans="16:16" x14ac:dyDescent="0.3">
      <c r="P1756"/>
    </row>
    <row r="1757" spans="16:16" x14ac:dyDescent="0.3">
      <c r="P1757"/>
    </row>
    <row r="1758" spans="16:16" x14ac:dyDescent="0.3">
      <c r="P1758"/>
    </row>
    <row r="1759" spans="16:16" x14ac:dyDescent="0.3">
      <c r="P1759"/>
    </row>
    <row r="1760" spans="16:16" x14ac:dyDescent="0.3">
      <c r="P1760"/>
    </row>
    <row r="1761" spans="16:16" x14ac:dyDescent="0.3">
      <c r="P1761"/>
    </row>
    <row r="1762" spans="16:16" x14ac:dyDescent="0.3">
      <c r="P1762"/>
    </row>
    <row r="1763" spans="16:16" x14ac:dyDescent="0.3">
      <c r="P1763"/>
    </row>
    <row r="1764" spans="16:16" x14ac:dyDescent="0.3">
      <c r="P1764"/>
    </row>
    <row r="1765" spans="16:16" x14ac:dyDescent="0.3">
      <c r="P1765"/>
    </row>
    <row r="1766" spans="16:16" x14ac:dyDescent="0.3">
      <c r="P1766"/>
    </row>
    <row r="1767" spans="16:16" x14ac:dyDescent="0.3">
      <c r="P1767"/>
    </row>
    <row r="1768" spans="16:16" x14ac:dyDescent="0.3">
      <c r="P1768"/>
    </row>
    <row r="1769" spans="16:16" x14ac:dyDescent="0.3">
      <c r="P1769"/>
    </row>
    <row r="1770" spans="16:16" x14ac:dyDescent="0.3">
      <c r="P1770"/>
    </row>
    <row r="1771" spans="16:16" x14ac:dyDescent="0.3">
      <c r="P1771"/>
    </row>
    <row r="1772" spans="16:16" x14ac:dyDescent="0.3">
      <c r="P1772"/>
    </row>
    <row r="1773" spans="16:16" x14ac:dyDescent="0.3">
      <c r="P1773"/>
    </row>
    <row r="1774" spans="16:16" x14ac:dyDescent="0.3">
      <c r="P1774"/>
    </row>
    <row r="1775" spans="16:16" x14ac:dyDescent="0.3">
      <c r="P1775"/>
    </row>
    <row r="1776" spans="16:16" x14ac:dyDescent="0.3">
      <c r="P1776"/>
    </row>
    <row r="1777" spans="16:16" x14ac:dyDescent="0.3">
      <c r="P1777"/>
    </row>
    <row r="1778" spans="16:16" x14ac:dyDescent="0.3">
      <c r="P1778"/>
    </row>
    <row r="1779" spans="16:16" x14ac:dyDescent="0.3">
      <c r="P1779"/>
    </row>
    <row r="1780" spans="16:16" x14ac:dyDescent="0.3">
      <c r="P1780"/>
    </row>
    <row r="1781" spans="16:16" x14ac:dyDescent="0.3">
      <c r="P1781"/>
    </row>
    <row r="1782" spans="16:16" x14ac:dyDescent="0.3">
      <c r="P1782"/>
    </row>
    <row r="1783" spans="16:16" x14ac:dyDescent="0.3">
      <c r="P1783"/>
    </row>
    <row r="1784" spans="16:16" x14ac:dyDescent="0.3">
      <c r="P1784"/>
    </row>
    <row r="1785" spans="16:16" x14ac:dyDescent="0.3">
      <c r="P1785"/>
    </row>
    <row r="1786" spans="16:16" x14ac:dyDescent="0.3">
      <c r="P1786"/>
    </row>
    <row r="1787" spans="16:16" x14ac:dyDescent="0.3">
      <c r="P1787"/>
    </row>
    <row r="1788" spans="16:16" x14ac:dyDescent="0.3">
      <c r="P1788"/>
    </row>
    <row r="1789" spans="16:16" x14ac:dyDescent="0.3">
      <c r="P1789"/>
    </row>
    <row r="1790" spans="16:16" x14ac:dyDescent="0.3">
      <c r="P1790"/>
    </row>
    <row r="1791" spans="16:16" x14ac:dyDescent="0.3">
      <c r="P1791"/>
    </row>
    <row r="1792" spans="16:16" x14ac:dyDescent="0.3">
      <c r="P1792"/>
    </row>
    <row r="1793" spans="16:16" x14ac:dyDescent="0.3">
      <c r="P1793"/>
    </row>
    <row r="1794" spans="16:16" x14ac:dyDescent="0.3">
      <c r="P1794"/>
    </row>
    <row r="1795" spans="16:16" x14ac:dyDescent="0.3">
      <c r="P1795"/>
    </row>
    <row r="1796" spans="16:16" x14ac:dyDescent="0.3">
      <c r="P1796"/>
    </row>
    <row r="1797" spans="16:16" x14ac:dyDescent="0.3">
      <c r="P1797"/>
    </row>
    <row r="1798" spans="16:16" x14ac:dyDescent="0.3">
      <c r="P1798"/>
    </row>
    <row r="1799" spans="16:16" x14ac:dyDescent="0.3">
      <c r="P1799"/>
    </row>
    <row r="1800" spans="16:16" x14ac:dyDescent="0.3">
      <c r="P1800"/>
    </row>
    <row r="1801" spans="16:16" x14ac:dyDescent="0.3">
      <c r="P1801"/>
    </row>
    <row r="1802" spans="16:16" x14ac:dyDescent="0.3">
      <c r="P1802"/>
    </row>
    <row r="1803" spans="16:16" x14ac:dyDescent="0.3">
      <c r="P1803"/>
    </row>
    <row r="1804" spans="16:16" x14ac:dyDescent="0.3">
      <c r="P1804"/>
    </row>
    <row r="1805" spans="16:16" x14ac:dyDescent="0.3">
      <c r="P1805"/>
    </row>
    <row r="1806" spans="16:16" x14ac:dyDescent="0.3">
      <c r="P1806"/>
    </row>
    <row r="1807" spans="16:16" x14ac:dyDescent="0.3">
      <c r="P1807"/>
    </row>
    <row r="1808" spans="16:16" x14ac:dyDescent="0.3">
      <c r="P1808"/>
    </row>
    <row r="1809" spans="16:16" x14ac:dyDescent="0.3">
      <c r="P1809"/>
    </row>
    <row r="1810" spans="16:16" x14ac:dyDescent="0.3">
      <c r="P1810"/>
    </row>
    <row r="1811" spans="16:16" x14ac:dyDescent="0.3">
      <c r="P1811"/>
    </row>
    <row r="1812" spans="16:16" x14ac:dyDescent="0.3">
      <c r="P1812"/>
    </row>
    <row r="1813" spans="16:16" x14ac:dyDescent="0.3">
      <c r="P1813"/>
    </row>
    <row r="1814" spans="16:16" x14ac:dyDescent="0.3">
      <c r="P1814"/>
    </row>
    <row r="1815" spans="16:16" x14ac:dyDescent="0.3">
      <c r="P1815"/>
    </row>
    <row r="1816" spans="16:16" x14ac:dyDescent="0.3">
      <c r="P1816"/>
    </row>
    <row r="1817" spans="16:16" x14ac:dyDescent="0.3">
      <c r="P1817"/>
    </row>
    <row r="1818" spans="16:16" x14ac:dyDescent="0.3">
      <c r="P1818"/>
    </row>
    <row r="1819" spans="16:16" x14ac:dyDescent="0.3">
      <c r="P1819"/>
    </row>
    <row r="1820" spans="16:16" x14ac:dyDescent="0.3">
      <c r="P1820"/>
    </row>
    <row r="1821" spans="16:16" x14ac:dyDescent="0.3">
      <c r="P1821"/>
    </row>
    <row r="1822" spans="16:16" x14ac:dyDescent="0.3">
      <c r="P1822"/>
    </row>
    <row r="1823" spans="16:16" x14ac:dyDescent="0.3">
      <c r="P1823"/>
    </row>
    <row r="1824" spans="16:16" x14ac:dyDescent="0.3">
      <c r="P1824"/>
    </row>
    <row r="1825" spans="16:16" x14ac:dyDescent="0.3">
      <c r="P1825"/>
    </row>
    <row r="1826" spans="16:16" x14ac:dyDescent="0.3">
      <c r="P1826"/>
    </row>
    <row r="1827" spans="16:16" x14ac:dyDescent="0.3">
      <c r="P1827"/>
    </row>
    <row r="1828" spans="16:16" x14ac:dyDescent="0.3">
      <c r="P1828"/>
    </row>
    <row r="1829" spans="16:16" x14ac:dyDescent="0.3">
      <c r="P1829"/>
    </row>
    <row r="1830" spans="16:16" x14ac:dyDescent="0.3">
      <c r="P1830"/>
    </row>
    <row r="1831" spans="16:16" x14ac:dyDescent="0.3">
      <c r="P1831"/>
    </row>
    <row r="1832" spans="16:16" x14ac:dyDescent="0.3">
      <c r="P1832"/>
    </row>
    <row r="1833" spans="16:16" x14ac:dyDescent="0.3">
      <c r="P1833"/>
    </row>
    <row r="1834" spans="16:16" x14ac:dyDescent="0.3">
      <c r="P1834"/>
    </row>
    <row r="1835" spans="16:16" x14ac:dyDescent="0.3">
      <c r="P1835"/>
    </row>
    <row r="1836" spans="16:16" x14ac:dyDescent="0.3">
      <c r="P1836"/>
    </row>
    <row r="1837" spans="16:16" x14ac:dyDescent="0.3">
      <c r="P1837"/>
    </row>
    <row r="1838" spans="16:16" x14ac:dyDescent="0.3">
      <c r="P1838"/>
    </row>
    <row r="1839" spans="16:16" x14ac:dyDescent="0.3">
      <c r="P1839"/>
    </row>
    <row r="1840" spans="16:16" x14ac:dyDescent="0.3">
      <c r="P1840"/>
    </row>
    <row r="1841" spans="16:16" x14ac:dyDescent="0.3">
      <c r="P1841"/>
    </row>
    <row r="1842" spans="16:16" x14ac:dyDescent="0.3">
      <c r="P1842"/>
    </row>
    <row r="1843" spans="16:16" x14ac:dyDescent="0.3">
      <c r="P1843"/>
    </row>
    <row r="1844" spans="16:16" x14ac:dyDescent="0.3">
      <c r="P1844"/>
    </row>
    <row r="1845" spans="16:16" x14ac:dyDescent="0.3">
      <c r="P1845"/>
    </row>
    <row r="1846" spans="16:16" x14ac:dyDescent="0.3">
      <c r="P1846"/>
    </row>
    <row r="1847" spans="16:16" x14ac:dyDescent="0.3">
      <c r="P1847"/>
    </row>
    <row r="1848" spans="16:16" x14ac:dyDescent="0.3">
      <c r="P1848"/>
    </row>
    <row r="1849" spans="16:16" x14ac:dyDescent="0.3">
      <c r="P1849"/>
    </row>
    <row r="1850" spans="16:16" x14ac:dyDescent="0.3">
      <c r="P1850"/>
    </row>
    <row r="1851" spans="16:16" x14ac:dyDescent="0.3">
      <c r="P1851"/>
    </row>
    <row r="1852" spans="16:16" x14ac:dyDescent="0.3">
      <c r="P1852"/>
    </row>
    <row r="1853" spans="16:16" x14ac:dyDescent="0.3">
      <c r="P1853"/>
    </row>
    <row r="1854" spans="16:16" x14ac:dyDescent="0.3">
      <c r="P1854"/>
    </row>
    <row r="1855" spans="16:16" x14ac:dyDescent="0.3">
      <c r="P1855"/>
    </row>
    <row r="1856" spans="16:16" x14ac:dyDescent="0.3">
      <c r="P1856"/>
    </row>
    <row r="1857" spans="16:16" x14ac:dyDescent="0.3">
      <c r="P1857"/>
    </row>
    <row r="1858" spans="16:16" x14ac:dyDescent="0.3">
      <c r="P1858"/>
    </row>
    <row r="1859" spans="16:16" x14ac:dyDescent="0.3">
      <c r="P1859"/>
    </row>
    <row r="1860" spans="16:16" x14ac:dyDescent="0.3">
      <c r="P1860"/>
    </row>
    <row r="1861" spans="16:16" x14ac:dyDescent="0.3">
      <c r="P1861"/>
    </row>
    <row r="1862" spans="16:16" x14ac:dyDescent="0.3">
      <c r="P1862"/>
    </row>
    <row r="1863" spans="16:16" x14ac:dyDescent="0.3">
      <c r="P1863"/>
    </row>
    <row r="1864" spans="16:16" x14ac:dyDescent="0.3">
      <c r="P1864"/>
    </row>
    <row r="1865" spans="16:16" x14ac:dyDescent="0.3">
      <c r="P1865"/>
    </row>
    <row r="1866" spans="16:16" x14ac:dyDescent="0.3">
      <c r="P1866"/>
    </row>
    <row r="1867" spans="16:16" x14ac:dyDescent="0.3">
      <c r="P1867"/>
    </row>
    <row r="1868" spans="16:16" x14ac:dyDescent="0.3">
      <c r="P1868"/>
    </row>
    <row r="1869" spans="16:16" x14ac:dyDescent="0.3">
      <c r="P1869"/>
    </row>
    <row r="1870" spans="16:16" x14ac:dyDescent="0.3">
      <c r="P1870"/>
    </row>
    <row r="1871" spans="16:16" x14ac:dyDescent="0.3">
      <c r="P1871"/>
    </row>
    <row r="1872" spans="16:16" x14ac:dyDescent="0.3">
      <c r="P1872"/>
    </row>
    <row r="1873" spans="16:16" x14ac:dyDescent="0.3">
      <c r="P1873"/>
    </row>
    <row r="1874" spans="16:16" x14ac:dyDescent="0.3">
      <c r="P1874"/>
    </row>
    <row r="1875" spans="16:16" x14ac:dyDescent="0.3">
      <c r="P1875"/>
    </row>
    <row r="1876" spans="16:16" x14ac:dyDescent="0.3">
      <c r="P1876"/>
    </row>
    <row r="1877" spans="16:16" x14ac:dyDescent="0.3">
      <c r="P1877"/>
    </row>
    <row r="1878" spans="16:16" x14ac:dyDescent="0.3">
      <c r="P1878"/>
    </row>
    <row r="1879" spans="16:16" x14ac:dyDescent="0.3">
      <c r="P1879"/>
    </row>
    <row r="1880" spans="16:16" x14ac:dyDescent="0.3">
      <c r="P1880"/>
    </row>
    <row r="1881" spans="16:16" x14ac:dyDescent="0.3">
      <c r="P1881"/>
    </row>
    <row r="1882" spans="16:16" x14ac:dyDescent="0.3">
      <c r="P1882"/>
    </row>
    <row r="1883" spans="16:16" x14ac:dyDescent="0.3">
      <c r="P1883"/>
    </row>
    <row r="1884" spans="16:16" x14ac:dyDescent="0.3">
      <c r="P1884"/>
    </row>
    <row r="1885" spans="16:16" x14ac:dyDescent="0.3">
      <c r="P1885"/>
    </row>
    <row r="1886" spans="16:16" x14ac:dyDescent="0.3">
      <c r="P1886"/>
    </row>
    <row r="1887" spans="16:16" x14ac:dyDescent="0.3">
      <c r="P1887"/>
    </row>
    <row r="1888" spans="16:16" x14ac:dyDescent="0.3">
      <c r="P1888"/>
    </row>
    <row r="1889" spans="16:16" x14ac:dyDescent="0.3">
      <c r="P1889"/>
    </row>
    <row r="1890" spans="16:16" x14ac:dyDescent="0.3">
      <c r="P1890"/>
    </row>
    <row r="1891" spans="16:16" x14ac:dyDescent="0.3">
      <c r="P1891"/>
    </row>
    <row r="1892" spans="16:16" x14ac:dyDescent="0.3">
      <c r="P1892"/>
    </row>
    <row r="1893" spans="16:16" x14ac:dyDescent="0.3">
      <c r="P1893"/>
    </row>
    <row r="1894" spans="16:16" x14ac:dyDescent="0.3">
      <c r="P1894"/>
    </row>
    <row r="1895" spans="16:16" x14ac:dyDescent="0.3">
      <c r="P1895"/>
    </row>
    <row r="1896" spans="16:16" x14ac:dyDescent="0.3">
      <c r="P1896"/>
    </row>
    <row r="1897" spans="16:16" x14ac:dyDescent="0.3">
      <c r="P1897"/>
    </row>
    <row r="1898" spans="16:16" x14ac:dyDescent="0.3">
      <c r="P1898"/>
    </row>
    <row r="1899" spans="16:16" x14ac:dyDescent="0.3">
      <c r="P1899"/>
    </row>
    <row r="1900" spans="16:16" x14ac:dyDescent="0.3">
      <c r="P1900"/>
    </row>
    <row r="1901" spans="16:16" x14ac:dyDescent="0.3">
      <c r="P1901"/>
    </row>
    <row r="1902" spans="16:16" x14ac:dyDescent="0.3">
      <c r="P1902"/>
    </row>
    <row r="1903" spans="16:16" x14ac:dyDescent="0.3">
      <c r="P1903"/>
    </row>
    <row r="1904" spans="16:16" x14ac:dyDescent="0.3">
      <c r="P1904"/>
    </row>
    <row r="1905" spans="16:16" x14ac:dyDescent="0.3">
      <c r="P1905"/>
    </row>
    <row r="1906" spans="16:16" x14ac:dyDescent="0.3">
      <c r="P1906"/>
    </row>
    <row r="1907" spans="16:16" x14ac:dyDescent="0.3">
      <c r="P1907"/>
    </row>
    <row r="1908" spans="16:16" x14ac:dyDescent="0.3">
      <c r="P1908"/>
    </row>
    <row r="1909" spans="16:16" x14ac:dyDescent="0.3">
      <c r="P1909"/>
    </row>
    <row r="1910" spans="16:16" x14ac:dyDescent="0.3">
      <c r="P1910"/>
    </row>
    <row r="1911" spans="16:16" x14ac:dyDescent="0.3">
      <c r="P1911"/>
    </row>
    <row r="1912" spans="16:16" x14ac:dyDescent="0.3">
      <c r="P1912"/>
    </row>
    <row r="1913" spans="16:16" x14ac:dyDescent="0.3">
      <c r="P1913"/>
    </row>
    <row r="1914" spans="16:16" x14ac:dyDescent="0.3">
      <c r="P1914"/>
    </row>
    <row r="1915" spans="16:16" x14ac:dyDescent="0.3">
      <c r="P1915"/>
    </row>
    <row r="1916" spans="16:16" x14ac:dyDescent="0.3">
      <c r="P1916"/>
    </row>
    <row r="1917" spans="16:16" x14ac:dyDescent="0.3">
      <c r="P1917"/>
    </row>
    <row r="1918" spans="16:16" x14ac:dyDescent="0.3">
      <c r="P1918"/>
    </row>
    <row r="1919" spans="16:16" x14ac:dyDescent="0.3">
      <c r="P1919"/>
    </row>
    <row r="1920" spans="16:16" x14ac:dyDescent="0.3">
      <c r="P1920"/>
    </row>
    <row r="1921" spans="16:16" x14ac:dyDescent="0.3">
      <c r="P1921"/>
    </row>
    <row r="1922" spans="16:16" x14ac:dyDescent="0.3">
      <c r="P1922"/>
    </row>
    <row r="1923" spans="16:16" x14ac:dyDescent="0.3">
      <c r="P1923"/>
    </row>
    <row r="1924" spans="16:16" x14ac:dyDescent="0.3">
      <c r="P1924"/>
    </row>
    <row r="1925" spans="16:16" x14ac:dyDescent="0.3">
      <c r="P1925"/>
    </row>
  </sheetData>
  <sortState xmlns:xlrd2="http://schemas.microsoft.com/office/spreadsheetml/2017/richdata2" ref="H2:I12">
    <sortCondition descending="1" ref="I3:I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F2AF-3A24-40EB-8385-9A16A74A4038}">
  <dimension ref="A1:I8"/>
  <sheetViews>
    <sheetView showGridLines="0" tabSelected="1" workbookViewId="0">
      <selection activeCell="I7" sqref="I7"/>
    </sheetView>
  </sheetViews>
  <sheetFormatPr defaultRowHeight="14.4" x14ac:dyDescent="0.3"/>
  <cols>
    <col min="2" max="2" width="45.6640625" bestFit="1" customWidth="1"/>
    <col min="7" max="8" width="8.88671875" customWidth="1"/>
    <col min="10" max="10" width="3.88671875" customWidth="1"/>
    <col min="11" max="11" width="2.44140625" customWidth="1"/>
    <col min="12" max="12" width="1.6640625" customWidth="1"/>
    <col min="13" max="13" width="47.33203125" customWidth="1"/>
  </cols>
  <sheetData>
    <row r="1" spans="1:9" x14ac:dyDescent="0.3">
      <c r="A1" s="19">
        <v>10</v>
      </c>
    </row>
    <row r="2" spans="1:9" x14ac:dyDescent="0.3">
      <c r="A2">
        <v>1</v>
      </c>
    </row>
    <row r="6" spans="1:9" ht="31.2" x14ac:dyDescent="0.6">
      <c r="B6" s="17" t="str" cm="1">
        <f t="array" ref="B6">INDEX('Date Prep'!D3:D12,11-Dashboard!A1)</f>
        <v>Information</v>
      </c>
    </row>
    <row r="8" spans="1:9" x14ac:dyDescent="0.3">
      <c r="I8" s="1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5" r:id="rId3" name="Spinner 23">
              <controlPr defaultSize="0" autoPict="0">
                <anchor moveWithCells="1" siz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2</xdr:col>
                    <xdr:colOff>403860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4" name="Option Button 25">
              <controlPr defaultSize="0" autoFill="0" autoLine="0" autoPict="0">
                <anchor moveWithCells="1">
                  <from>
                    <xdr:col>12</xdr:col>
                    <xdr:colOff>533400</xdr:colOff>
                    <xdr:row>11</xdr:row>
                    <xdr:rowOff>121920</xdr:rowOff>
                  </from>
                  <to>
                    <xdr:col>12</xdr:col>
                    <xdr:colOff>1775460</xdr:colOff>
                    <xdr:row>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5" name="Option Button 26">
              <controlPr defaultSize="0" autoFill="0" autoLine="0" autoPict="0">
                <anchor moveWithCells="1">
                  <from>
                    <xdr:col>12</xdr:col>
                    <xdr:colOff>2644140</xdr:colOff>
                    <xdr:row>11</xdr:row>
                    <xdr:rowOff>121920</xdr:rowOff>
                  </from>
                  <to>
                    <xdr:col>14</xdr:col>
                    <xdr:colOff>30480</xdr:colOff>
                    <xdr:row>12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ליאל איליאגוייב</cp:lastModifiedBy>
  <dcterms:created xsi:type="dcterms:W3CDTF">2021-09-21T20:47:02Z</dcterms:created>
  <dcterms:modified xsi:type="dcterms:W3CDTF">2025-12-18T17:46:33Z</dcterms:modified>
</cp:coreProperties>
</file>